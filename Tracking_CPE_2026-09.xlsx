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AQUETA" sheetId="2" state="visible" r:id="rId4"/>
    <sheet name="CURVA" sheetId="3" state="visible" r:id="rId5"/>
    <sheet name="CONTROL" sheetId="4" state="visible" r:id="rId6"/>
    <sheet name="PARAMETROS" sheetId="5" state="visible" r:id="rId7"/>
    <sheet name="DIARIO" sheetId="6" state="visible" r:id="rId8"/>
    <sheet name="METAS_D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<sst xmlns="http://schemas.openxmlformats.org/spreadsheetml/2006/main" count="1780" uniqueCount="132">
  <si>
    <t xml:space="preserve">RESUMEN GENERAL</t>
  </si>
  <si>
    <t xml:space="preserve">Performance CL | Seguimiento · septiembre 2026</t>
  </si>
  <si>
    <t xml:space="preserve">INVERSIÓN</t>
  </si>
  <si>
    <t xml:space="preserve">LEADS GENERADOS</t>
  </si>
  <si>
    <t xml:space="preserve">EMISIONES / NETOS</t>
  </si>
  <si>
    <t xml:space="preserve">VENTAS (solo con meta)</t>
  </si>
  <si>
    <t xml:space="preserve">COSTOS</t>
  </si>
  <si>
    <t xml:space="preserve">Real corte</t>
  </si>
  <si>
    <t xml:space="preserve">CPL Meta</t>
  </si>
  <si>
    <t xml:space="preserve">Meta mes</t>
  </si>
  <si>
    <t xml:space="preserve">0</t>
  </si>
  <si>
    <t xml:space="preserve">CPL Proy.</t>
  </si>
  <si>
    <t xml:space="preserve">Proy. cierre</t>
  </si>
  <si>
    <t xml:space="preserve">CPA Meta</t>
  </si>
  <si>
    <t xml:space="preserve">Cumpl. proy.</t>
  </si>
  <si>
    <t xml:space="preserve">CPA Proy.</t>
  </si>
  <si>
    <t xml:space="preserve">Cumplimiento por producto</t>
  </si>
  <si>
    <t xml:space="preserve">Producto</t>
  </si>
  <si>
    <t xml:space="preserve">Presupuesto</t>
  </si>
  <si>
    <t xml:space="preserve">Leads</t>
  </si>
  <si>
    <t xml:space="preserve">Emitidos</t>
  </si>
  <si>
    <t xml:space="preserve">Ventas</t>
  </si>
  <si>
    <t xml:space="preserve">Meta</t>
  </si>
  <si>
    <t xml:space="preserve">Proy.</t>
  </si>
  <si>
    <t xml:space="preserve">% cumpl.</t>
  </si>
  <si>
    <t xml:space="preserve">MÓVIL</t>
  </si>
  <si>
    <t xml:space="preserve">FIJO</t>
  </si>
  <si>
    <t xml:space="preserve">MIXTO</t>
  </si>
  <si>
    <t xml:space="preserve">TOTAL</t>
  </si>
  <si>
    <t xml:space="preserve">TOTAL = Móvil + Fijo. Mixto no se suma: ya viene repartido dentro de los dos.</t>
  </si>
  <si>
    <t xml:space="preserve">Costos</t>
  </si>
  <si>
    <t xml:space="preserve">CPL</t>
  </si>
  <si>
    <t xml:space="preserve">CPE</t>
  </si>
  <si>
    <t xml:space="preserve">CPA</t>
  </si>
  <si>
    <t xml:space="preserve">Var %</t>
  </si>
  <si>
    <t xml:space="preserve">Emisiones y CPE no tienen meta en el presupuesto: quedan en 0 a propósito. La meta de ventas solo viene cargada para Fijo, así que la tarjeta de VENTAS y el CPA del TOTAL se calculan únicamente sobre los bloques que sí tienen meta.</t>
  </si>
  <si>
    <t xml:space="preserve">TRACKING Y PROYECCION A CIERRE · 2026-09</t>
  </si>
  <si>
    <t xml:space="preserve">Proyeccion = Real acumulado / dias con informacion x dias del mes (run-rate simple). 'Meta a hoy' es la meta diaria acumulada hasta la fecha de corte, para ver el pacing. Parametros en PARAMETROS.</t>
  </si>
  <si>
    <t xml:space="preserve">COSTOS MOVIL</t>
  </si>
  <si>
    <t xml:space="preserve">LEADS MOVIL</t>
  </si>
  <si>
    <t xml:space="preserve">CPL MOVIL</t>
  </si>
  <si>
    <t xml:space="preserve">Canal 2</t>
  </si>
  <si>
    <t xml:space="preserve">Meta Costo mes</t>
  </si>
  <si>
    <t xml:space="preserve">Meta a hoy</t>
  </si>
  <si>
    <t xml:space="preserve">Real Costo</t>
  </si>
  <si>
    <t xml:space="preserve">% a hoy</t>
  </si>
  <si>
    <t xml:space="preserve">Costo proyectado</t>
  </si>
  <si>
    <t xml:space="preserve">Meta Leads mes</t>
  </si>
  <si>
    <t xml:space="preserve">Real Leads</t>
  </si>
  <si>
    <t xml:space="preserve">Leads Proyectados</t>
  </si>
  <si>
    <t xml:space="preserve">% Cumplimiento</t>
  </si>
  <si>
    <t xml:space="preserve">Afiliados</t>
  </si>
  <si>
    <t xml:space="preserve">Bing</t>
  </si>
  <si>
    <t xml:space="preserve">Bing Mixto</t>
  </si>
  <si>
    <t xml:space="preserve">Display</t>
  </si>
  <si>
    <t xml:space="preserve">Pmax</t>
  </si>
  <si>
    <t xml:space="preserve">Pmax Mixto</t>
  </si>
  <si>
    <t xml:space="preserve">Search</t>
  </si>
  <si>
    <t xml:space="preserve">Search Mixto</t>
  </si>
  <si>
    <t xml:space="preserve">TikTok</t>
  </si>
  <si>
    <t xml:space="preserve">Total</t>
  </si>
  <si>
    <t xml:space="preserve">EMBUDO Y COSTOS UNITARIOS MOVIL  ·  sin meta asociada</t>
  </si>
  <si>
    <t xml:space="preserve">Q Neto</t>
  </si>
  <si>
    <t xml:space="preserve">Q Neto proy</t>
  </si>
  <si>
    <t xml:space="preserve">CPL Neto</t>
  </si>
  <si>
    <t xml:space="preserve">Q Emi</t>
  </si>
  <si>
    <t xml:space="preserve">Q Emi proy</t>
  </si>
  <si>
    <t xml:space="preserve">Q Ter</t>
  </si>
  <si>
    <t xml:space="preserve">Q Ter proy</t>
  </si>
  <si>
    <t xml:space="preserve">COSTOS FIJO</t>
  </si>
  <si>
    <t xml:space="preserve">LEADS FIJO</t>
  </si>
  <si>
    <t xml:space="preserve">CPL FIJO</t>
  </si>
  <si>
    <t xml:space="preserve">*Sin Clasificar*</t>
  </si>
  <si>
    <t xml:space="preserve">EMBUDO Y COSTOS UNITARIOS FIJO  ·  sin meta asociada</t>
  </si>
  <si>
    <t xml:space="preserve">COSTOS MIXTO</t>
  </si>
  <si>
    <t xml:space="preserve">LEADS MIXTO</t>
  </si>
  <si>
    <t xml:space="preserve">CPL MIXTO</t>
  </si>
  <si>
    <t xml:space="preserve">EMBUDO Y COSTOS UNITARIOS MIXTO  ·  sin meta asociada</t>
  </si>
  <si>
    <t xml:space="preserve">RESUMEN DEL MES (Movil + Fijo)</t>
  </si>
  <si>
    <t xml:space="preserve">Indicador</t>
  </si>
  <si>
    <t xml:space="preserve">Real / Proyectado</t>
  </si>
  <si>
    <t xml:space="preserve">%</t>
  </si>
  <si>
    <t xml:space="preserve">Costo (real a hoy)</t>
  </si>
  <si>
    <t xml:space="preserve">Costo (proyectado a cierre)</t>
  </si>
  <si>
    <t xml:space="preserve">Leads (real a hoy)</t>
  </si>
  <si>
    <t xml:space="preserve">Leads (proyectado a cierre)</t>
  </si>
  <si>
    <t xml:space="preserve">CPL (real a hoy)</t>
  </si>
  <si>
    <t xml:space="preserve">CPL (proyectado a cierre)</t>
  </si>
  <si>
    <t xml:space="preserve">AVANCE DIARIO 2026-09  ·  Movil + Fijo (Mixto ya viene repartido)</t>
  </si>
  <si>
    <t xml:space="preserve">Fecha</t>
  </si>
  <si>
    <t xml:space="preserve">Meta Costo</t>
  </si>
  <si>
    <t xml:space="preserve">Costo</t>
  </si>
  <si>
    <t xml:space="preserve">% Costo</t>
  </si>
  <si>
    <t xml:space="preserve">Meta Lead</t>
  </si>
  <si>
    <t xml:space="preserve">Lead</t>
  </si>
  <si>
    <t xml:space="preserve">Costo acum</t>
  </si>
  <si>
    <t xml:space="preserve">Meta acum</t>
  </si>
  <si>
    <t xml:space="preserve">% acum</t>
  </si>
  <si>
    <t xml:space="preserve">TOTAL MES</t>
  </si>
  <si>
    <t xml:space="preserve">PROYECTADO A CIERRE</t>
  </si>
  <si>
    <t xml:space="preserve">CONTROL DE CRUCE REAL vs PPTO</t>
  </si>
  <si>
    <t xml:space="preserve">Revisa esta hoja cada mes. Si aparece algo, es que cambio el nombre de un canal o que falta cargarlo en el PPTo.</t>
  </si>
  <si>
    <t xml:space="preserve">BLOQUE</t>
  </si>
  <si>
    <t xml:space="preserve">CANAL 2</t>
  </si>
  <si>
    <t xml:space="preserve">SITUACION</t>
  </si>
  <si>
    <t xml:space="preserve">ACCION SUGERIDA</t>
  </si>
  <si>
    <t xml:space="preserve">Tiene inversion real pero no tiene meta en el PPTo</t>
  </si>
  <si>
    <t xml:space="preserve">Cargar la meta o confirmar que no lleva</t>
  </si>
  <si>
    <t xml:space="preserve">MOVIL</t>
  </si>
  <si>
    <t xml:space="preserve">Tiene meta pero todavia no registra inversion</t>
  </si>
  <si>
    <t xml:space="preserve">Verificar si la campana ya arranco</t>
  </si>
  <si>
    <t xml:space="preserve">PARAMETROS DEL TRACKING</t>
  </si>
  <si>
    <t xml:space="preserve">Mes reportado</t>
  </si>
  <si>
    <t xml:space="preserve">2026-09</t>
  </si>
  <si>
    <t xml:space="preserve">Area</t>
  </si>
  <si>
    <t xml:space="preserve">CANAL ONLINE</t>
  </si>
  <si>
    <t xml:space="preserve">Dias con informacion</t>
  </si>
  <si>
    <t xml:space="preserve">Bajalo si el ultimo dia viene incompleto</t>
  </si>
  <si>
    <t xml:space="preserve">Dias del mes</t>
  </si>
  <si>
    <t xml:space="preserve">Factor de proyeccion</t>
  </si>
  <si>
    <t xml:space="preserve">Real acumulado x este factor = proyectado a cierre</t>
  </si>
  <si>
    <t xml:space="preserve">% de MIXTO asignado a Movil y a Fijo</t>
  </si>
  <si>
    <t xml:space="preserve">Ultima fecha con datos reales</t>
  </si>
  <si>
    <t xml:space="preserve">FECHA</t>
  </si>
  <si>
    <t xml:space="preserve">COSTO</t>
  </si>
  <si>
    <t xml:space="preserve">LEADS</t>
  </si>
  <si>
    <t xml:space="preserve">Q NETO</t>
  </si>
  <si>
    <t xml:space="preserve">Q EMI</t>
  </si>
  <si>
    <t xml:space="preserve">Q TER</t>
  </si>
  <si>
    <t xml:space="preserve">META COSTO</t>
  </si>
  <si>
    <t xml:space="preserve">META LEADS</t>
  </si>
  <si>
    <t xml:space="preserve">META VENTAS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</si>
</sst>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0%"/>
    <numFmt numFmtId="168" formatCode="\+0%;\-0%;0%"/>
    <numFmt numFmtId="169" formatCode="#,##0.0"/>
    <numFmt numFmtId="170" formatCode="d\ mmm\ yyyy"/>
    <numFmt numFmtId="171" formatCode="0.0000"/>
    <numFmt numFmtId="172" formatCode="yyyy\-mm\-dd"/>
    <numFmt numFmtId="173" formatCode="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u val="singl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u val="single"/>
      <sz val="12"/>
      <color rgb="FFC0000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EEAF6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7FC"/>
        <bgColor rgb="FFF2F2F2"/>
      </patternFill>
    </fill>
    <fill>
      <patternFill patternType="solid">
        <fgColor rgb="FFFFFBF0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CE4E4"/>
        <bgColor rgb="FFF2F2F2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2F7FC"/>
      </patternFill>
    </fill>
    <fill>
      <patternFill patternType="solid">
        <fgColor rgb="FFD9D9D9"/>
        <bgColor rgb="FFDEEAF6"/>
      </patternFill>
    </fill>
    <fill>
      <patternFill patternType="solid">
        <fgColor rgb="FF2E9BE0"/>
        <bgColor rgb="FF4472C4"/>
      </patternFill>
    </fill>
    <fill>
      <patternFill patternType="solid">
        <fgColor rgb="FFFFC7CE"/>
        <bgColor rgb="FFFCE4E4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1F3864"/>
      </left>
      <right/>
      <top/>
      <bottom/>
      <diagonal/>
    </border>
    <border diagonalUp="false" diagonalDown="false">
      <left style="thick">
        <color rgb="FFFFC000"/>
      </left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F2F2F2"/>
      <rgbColor rgb="FFFFFBF0"/>
      <rgbColor rgb="FFFCE4E4"/>
      <rgbColor rgb="FFFF99CC"/>
      <rgbColor rgb="FFCC99FF"/>
      <rgbColor rgb="FFFFC7CE"/>
      <rgbColor rgb="FF4472C4"/>
      <rgbColor rgb="FF2E9BE0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6" min="2" style="0" width="13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J1" s="2" t="str">
        <f aca="false">"Fecha de evaluación: "&amp;TEXT(PARAMETROS!$B$9,"DD/MM/YYYY")</f>
        <v>Fecha de evaluación: 08/09/2026</v>
      </c>
      <c r="K1" s="2"/>
      <c r="L1" s="2"/>
      <c r="M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5" t="s">
        <v>6</v>
      </c>
      <c r="N4" s="5"/>
      <c r="O4" s="5"/>
    </row>
    <row r="5" customFormat="false" ht="15" hidden="false" customHeight="false" outlineLevel="0" collapsed="false">
      <c r="A5" s="6" t="s">
        <v>7</v>
      </c>
      <c r="B5" s="7" t="n">
        <f aca="false">(SUMIFS(DIARIO!$D$2:$D$171,DIARIO!$B$2:$B$171,"MOVIL")+SUMIFS(DIARIO!$D$2:$D$171,DIARIO!$B$2:$B$171,"FIJO"))</f>
        <v>190083748.7876</v>
      </c>
      <c r="C5" s="8"/>
      <c r="D5" s="6" t="s">
        <v>7</v>
      </c>
      <c r="E5" s="9" t="n">
        <f aca="false">(SUMIFS(DIARIO!$E$2:$E$171,DIARIO!$B$2:$B$171,"MOVIL")+SUMIFS(DIARIO!$E$2:$E$171,DIARIO!$B$2:$B$171,"FIJO"))</f>
        <v>10091</v>
      </c>
      <c r="F5" s="8"/>
      <c r="G5" s="6" t="s">
        <v>7</v>
      </c>
      <c r="H5" s="9" t="n">
        <f aca="false">(SUMIFS(DIARIO!$G$2:$G$171,DIARIO!$B$2:$B$171,"MOVIL")+SUMIFS(DIARIO!$G$2:$G$171,DIARIO!$B$2:$B$171,"FIJO"))</f>
        <v>4088</v>
      </c>
      <c r="I5" s="8"/>
      <c r="J5" s="6" t="s">
        <v>7</v>
      </c>
      <c r="K5" s="9" t="n">
        <f aca="false">SUMIF($K$14:$K$15,"&gt;0",$L$14:$L$15)/PARAMETROS!$B$7</f>
        <v>1841</v>
      </c>
      <c r="L5" s="8"/>
      <c r="M5" s="10" t="s">
        <v>8</v>
      </c>
      <c r="N5" s="11" t="n">
        <f aca="false">IFERROR((SUMIFS(METAS_DIA!$D$2:$D$541,METAS_DIA!$B$2:$B$541,"MOVIL")+SUMIFS(METAS_DIA!$D$2:$D$541,METAS_DIA!$B$2:$B$541,"FIJO"))/(SUMIFS(METAS_DIA!$E$2:$E$541,METAS_DIA!$B$2:$B$541,"MOVIL")+SUMIFS(METAS_DIA!$E$2:$E$541,METAS_DIA!$B$2:$B$541,"FIJO")),0)</f>
        <v>11452.9021215994</v>
      </c>
      <c r="O5" s="12"/>
    </row>
    <row r="6" customFormat="false" ht="15" hidden="false" customHeight="false" outlineLevel="0" collapsed="false">
      <c r="A6" s="6" t="s">
        <v>9</v>
      </c>
      <c r="B6" s="7" t="n">
        <f aca="false">(SUMIFS(METAS_DIA!$D$2:$D$541,METAS_DIA!$B$2:$B$541,"MOVIL")+SUMIFS(METAS_DIA!$D$2:$D$541,METAS_DIA!$B$2:$B$541,"FIJO"))</f>
        <v>644021673.9987</v>
      </c>
      <c r="C6" s="8"/>
      <c r="D6" s="6" t="s">
        <v>9</v>
      </c>
      <c r="E6" s="9" t="n">
        <f aca="false">(SUMIFS(METAS_DIA!$E$2:$E$541,METAS_DIA!$B$2:$B$541,"MOVIL")+SUMIFS(METAS_DIA!$E$2:$E$541,METAS_DIA!$B$2:$B$541,"FIJO"))</f>
        <v>56232.181778985</v>
      </c>
      <c r="F6" s="8"/>
      <c r="G6" s="6" t="s">
        <v>9</v>
      </c>
      <c r="H6" s="9" t="s">
        <v>10</v>
      </c>
      <c r="I6" s="8"/>
      <c r="J6" s="6" t="s">
        <v>9</v>
      </c>
      <c r="K6" s="9" t="n">
        <f aca="false">SUMIF($K$14:$K$15,"&gt;0",$K$14:$K$15)</f>
        <v>4372.252136865</v>
      </c>
      <c r="L6" s="8"/>
      <c r="M6" s="10" t="s">
        <v>11</v>
      </c>
      <c r="N6" s="11" t="n">
        <f aca="false">IFERROR((SUMIFS(DIARIO!$D$2:$D$171,DIARIO!$B$2:$B$171,"MOVIL")+SUMIFS(DIARIO!$D$2:$D$171,DIARIO!$B$2:$B$171,"FIJO"))/(SUMIFS(DIARIO!$E$2:$E$171,DIARIO!$B$2:$B$171,"MOVIL")+SUMIFS(DIARIO!$E$2:$E$171,DIARIO!$B$2:$B$171,"FIJO")),0)</f>
        <v>18836.9585559013</v>
      </c>
      <c r="O6" s="12"/>
    </row>
    <row r="7" customFormat="false" ht="15" hidden="false" customHeight="false" outlineLevel="0" collapsed="false">
      <c r="A7" s="6" t="s">
        <v>12</v>
      </c>
      <c r="B7" s="7" t="n">
        <f aca="false">(SUMIFS(DIARIO!$D$2:$D$171,DIARIO!$B$2:$B$171,"MOVIL")+SUMIFS(DIARIO!$D$2:$D$171,DIARIO!$B$2:$B$171,"FIJO"))*PARAMETROS!$B$7</f>
        <v>712814057.9535</v>
      </c>
      <c r="C7" s="8"/>
      <c r="D7" s="6" t="s">
        <v>12</v>
      </c>
      <c r="E7" s="9" t="n">
        <f aca="false">(SUMIFS(DIARIO!$E$2:$E$171,DIARIO!$B$2:$B$171,"MOVIL")+SUMIFS(DIARIO!$E$2:$E$171,DIARIO!$B$2:$B$171,"FIJO"))*PARAMETROS!$B$7</f>
        <v>37841.25</v>
      </c>
      <c r="F7" s="8"/>
      <c r="G7" s="6" t="s">
        <v>12</v>
      </c>
      <c r="H7" s="9" t="n">
        <f aca="false">(SUMIFS(DIARIO!$G$2:$G$171,DIARIO!$B$2:$B$171,"MOVIL")+SUMIFS(DIARIO!$G$2:$G$171,DIARIO!$B$2:$B$171,"FIJO"))*PARAMETROS!$B$7</f>
        <v>15330</v>
      </c>
      <c r="I7" s="8"/>
      <c r="J7" s="6" t="s">
        <v>12</v>
      </c>
      <c r="K7" s="9" t="n">
        <f aca="false">SUMIF($K$14:$K$15,"&gt;0",$L$14:$L$15)</f>
        <v>6903.75</v>
      </c>
      <c r="L7" s="8"/>
      <c r="M7" s="10" t="s">
        <v>13</v>
      </c>
      <c r="N7" s="11" t="n">
        <f aca="false">IFERROR(SUMIF($K$14:$K$15,"&gt;0",$B$14:$B$15)/SUMIF($K$14:$K$15,"&gt;0",$K$14:$K$15),0)</f>
        <v>83325.478172733</v>
      </c>
      <c r="O7" s="12"/>
    </row>
    <row r="8" customFormat="false" ht="15" hidden="false" customHeight="false" outlineLevel="0" collapsed="false">
      <c r="A8" s="6" t="s">
        <v>14</v>
      </c>
      <c r="B8" s="13" t="n">
        <f aca="false">IFERROR(B7/B6,0)</f>
        <v>1.10681687702787</v>
      </c>
      <c r="C8" s="8"/>
      <c r="D8" s="6" t="s">
        <v>14</v>
      </c>
      <c r="E8" s="13" t="n">
        <f aca="false">IFERROR(E7/E6,0)</f>
        <v>0.672946501502134</v>
      </c>
      <c r="F8" s="8"/>
      <c r="G8" s="6" t="s">
        <v>14</v>
      </c>
      <c r="H8" s="13" t="n">
        <f aca="false">IFERROR(H7/H6,0)</f>
        <v>0</v>
      </c>
      <c r="I8" s="8"/>
      <c r="J8" s="6" t="s">
        <v>14</v>
      </c>
      <c r="K8" s="13" t="n">
        <f aca="false">IFERROR(K7/K6,0)</f>
        <v>1.57899173787131</v>
      </c>
      <c r="L8" s="8"/>
      <c r="M8" s="10" t="s">
        <v>15</v>
      </c>
      <c r="N8" s="11" t="n">
        <f aca="false">IFERROR(SUMIF($K$14:$K$15,"&gt;0",$C$14:$C$15)/SUMIF($K$14:$K$15,"&gt;0",$L$14:$L$15),0)</f>
        <v>48893.0303124117</v>
      </c>
      <c r="O8" s="12"/>
    </row>
    <row r="11" customFormat="false" ht="15" hidden="false" customHeight="false" outlineLevel="0" collapsed="false">
      <c r="A11" s="14" t="s">
        <v>16</v>
      </c>
    </row>
    <row r="12" customFormat="false" ht="15" hidden="false" customHeight="false" outlineLevel="0" collapsed="false">
      <c r="A12" s="15" t="s">
        <v>17</v>
      </c>
      <c r="B12" s="16" t="s">
        <v>18</v>
      </c>
      <c r="C12" s="16"/>
      <c r="D12" s="16"/>
      <c r="E12" s="16" t="s">
        <v>19</v>
      </c>
      <c r="F12" s="16"/>
      <c r="G12" s="16"/>
      <c r="H12" s="16" t="s">
        <v>20</v>
      </c>
      <c r="I12" s="16"/>
      <c r="J12" s="16"/>
      <c r="K12" s="16" t="s">
        <v>21</v>
      </c>
      <c r="L12" s="16"/>
      <c r="M12" s="16"/>
    </row>
    <row r="13" customFormat="false" ht="15" hidden="false" customHeight="false" outlineLevel="0" collapsed="false">
      <c r="B13" s="17" t="s">
        <v>22</v>
      </c>
      <c r="C13" s="17" t="s">
        <v>23</v>
      </c>
      <c r="D13" s="17" t="s">
        <v>24</v>
      </c>
      <c r="E13" s="17" t="s">
        <v>22</v>
      </c>
      <c r="F13" s="17" t="s">
        <v>23</v>
      </c>
      <c r="G13" s="17" t="s">
        <v>24</v>
      </c>
      <c r="H13" s="17" t="s">
        <v>22</v>
      </c>
      <c r="I13" s="17" t="s">
        <v>23</v>
      </c>
      <c r="J13" s="17" t="s">
        <v>24</v>
      </c>
      <c r="K13" s="17" t="s">
        <v>22</v>
      </c>
      <c r="L13" s="17" t="s">
        <v>23</v>
      </c>
      <c r="M13" s="17" t="s">
        <v>24</v>
      </c>
    </row>
    <row r="14" customFormat="false" ht="15" hidden="false" customHeight="false" outlineLevel="0" collapsed="false">
      <c r="A14" s="18" t="s">
        <v>25</v>
      </c>
      <c r="B14" s="19" t="n">
        <f aca="false">SUMIFS(METAS_DIA!$D$2:$D$541,METAS_DIA!$B$2:$B$541,"MOVIL")</f>
        <v>279701674.00267</v>
      </c>
      <c r="C14" s="19" t="n">
        <f aca="false">SUMIFS(DIARIO!$D$2:$D$171,DIARIO!$B$2:$B$171,"MOVIL")*PARAMETROS!$B$7</f>
        <v>375268799.934188</v>
      </c>
      <c r="D14" s="20" t="n">
        <f aca="false">IFERROR(C14/B14,0)</f>
        <v>1.34167520188172</v>
      </c>
      <c r="E14" s="21" t="n">
        <f aca="false">SUMIFS(METAS_DIA!$E$2:$E$541,METAS_DIA!$B$2:$B$541,"MOVIL")</f>
        <v>27412.060321837</v>
      </c>
      <c r="F14" s="21" t="n">
        <f aca="false">SUMIFS(DIARIO!$E$2:$E$171,DIARIO!$B$2:$B$171,"MOVIL")*PARAMETROS!$B$7</f>
        <v>20737.5</v>
      </c>
      <c r="G14" s="20" t="n">
        <f aca="false">IFERROR(F14/E14,0)</f>
        <v>0.756510081932079</v>
      </c>
      <c r="H14" s="21" t="s">
        <v>10</v>
      </c>
      <c r="I14" s="21" t="n">
        <f aca="false">SUMIFS(DIARIO!$G$2:$G$171,DIARIO!$B$2:$B$171,"MOVIL")*PARAMETROS!$B$7</f>
        <v>6896.25</v>
      </c>
      <c r="J14" s="20" t="n">
        <f aca="false">IFERROR(I14/H14,0)</f>
        <v>0</v>
      </c>
      <c r="K14" s="21" t="n">
        <f aca="false">SUMIFS(METAS_DIA!$F$2:$F$541,METAS_DIA!$B$2:$B$541,"MOVIL")</f>
        <v>0</v>
      </c>
      <c r="L14" s="21" t="n">
        <f aca="false">SUMIFS(DIARIO!$H$2:$H$171,DIARIO!$B$2:$B$171,"MOVIL")*PARAMETROS!$B$7</f>
        <v>5940</v>
      </c>
      <c r="M14" s="20" t="n">
        <f aca="false">IFERROR(L14/K14,0)</f>
        <v>0</v>
      </c>
    </row>
    <row r="15" customFormat="false" ht="15" hidden="false" customHeight="false" outlineLevel="0" collapsed="false">
      <c r="A15" s="18" t="s">
        <v>26</v>
      </c>
      <c r="B15" s="19" t="n">
        <f aca="false">SUMIFS(METAS_DIA!$D$2:$D$541,METAS_DIA!$B$2:$B$541,"FIJO")</f>
        <v>364319999.99603</v>
      </c>
      <c r="C15" s="19" t="n">
        <f aca="false">SUMIFS(DIARIO!$D$2:$D$171,DIARIO!$B$2:$B$171,"FIJO")*PARAMETROS!$B$7</f>
        <v>337545258.019313</v>
      </c>
      <c r="D15" s="20" t="n">
        <f aca="false">IFERROR(C15/B15,0)</f>
        <v>0.926507625227796</v>
      </c>
      <c r="E15" s="21" t="n">
        <f aca="false">SUMIFS(METAS_DIA!$E$2:$E$541,METAS_DIA!$B$2:$B$541,"FIJO")</f>
        <v>28820.121457148</v>
      </c>
      <c r="F15" s="21" t="n">
        <f aca="false">SUMIFS(DIARIO!$E$2:$E$171,DIARIO!$B$2:$B$171,"FIJO")*PARAMETROS!$B$7</f>
        <v>17103.75</v>
      </c>
      <c r="G15" s="20" t="n">
        <f aca="false">IFERROR(F15/E15,0)</f>
        <v>0.593465576660778</v>
      </c>
      <c r="H15" s="21" t="s">
        <v>10</v>
      </c>
      <c r="I15" s="21" t="n">
        <f aca="false">SUMIFS(DIARIO!$G$2:$G$171,DIARIO!$B$2:$B$171,"FIJO")*PARAMETROS!$B$7</f>
        <v>8433.75</v>
      </c>
      <c r="J15" s="20" t="n">
        <f aca="false">IFERROR(I15/H15,0)</f>
        <v>0</v>
      </c>
      <c r="K15" s="21" t="n">
        <f aca="false">SUMIFS(METAS_DIA!$F$2:$F$541,METAS_DIA!$B$2:$B$541,"FIJO")</f>
        <v>4372.252136865</v>
      </c>
      <c r="L15" s="21" t="n">
        <f aca="false">SUMIFS(DIARIO!$H$2:$H$171,DIARIO!$B$2:$B$171,"FIJO")*PARAMETROS!$B$7</f>
        <v>6903.75</v>
      </c>
      <c r="M15" s="20" t="n">
        <f aca="false">IFERROR(L15/K15,0)</f>
        <v>1.57899173787131</v>
      </c>
    </row>
    <row r="16" customFormat="false" ht="15" hidden="false" customHeight="false" outlineLevel="0" collapsed="false">
      <c r="A16" s="18" t="s">
        <v>27</v>
      </c>
      <c r="B16" s="19" t="n">
        <f aca="false">SUMIFS(METAS_DIA!$D$2:$D$541,METAS_DIA!$B$2:$B$541,"MIXTO")</f>
        <v>119999999.99906</v>
      </c>
      <c r="C16" s="19" t="n">
        <f aca="false">SUMIFS(DIARIO!$D$2:$D$171,DIARIO!$B$2:$B$171,"MIXTO")*PARAMETROS!$B$7</f>
        <v>113694777.457875</v>
      </c>
      <c r="D16" s="20" t="n">
        <f aca="false">IFERROR(C16/B16,0)</f>
        <v>0.947456478823047</v>
      </c>
      <c r="E16" s="21" t="n">
        <f aca="false">SUMIFS(METAS_DIA!$E$2:$E$541,METAS_DIA!$B$2:$B$541,"MIXTO")</f>
        <v>21647.435897596</v>
      </c>
      <c r="F16" s="21" t="n">
        <f aca="false">SUMIFS(DIARIO!$E$2:$E$171,DIARIO!$B$2:$B$171,"MIXTO")*PARAMETROS!$B$7</f>
        <v>11055</v>
      </c>
      <c r="G16" s="20" t="n">
        <f aca="false">IFERROR(F16/E16,0)</f>
        <v>0.510684039084171</v>
      </c>
      <c r="H16" s="21" t="s">
        <v>10</v>
      </c>
      <c r="I16" s="21" t="n">
        <f aca="false">SUMIFS(DIARIO!$G$2:$G$171,DIARIO!$B$2:$B$171,"MIXTO")*PARAMETROS!$B$7</f>
        <v>3712.5</v>
      </c>
      <c r="J16" s="20" t="n">
        <f aca="false">IFERROR(I16/H16,0)</f>
        <v>0</v>
      </c>
      <c r="K16" s="21" t="n">
        <f aca="false">SUMIFS(METAS_DIA!$F$2:$F$541,METAS_DIA!$B$2:$B$541,"MIXTO")</f>
        <v>0</v>
      </c>
      <c r="L16" s="21" t="n">
        <f aca="false">SUMIFS(DIARIO!$H$2:$H$171,DIARIO!$B$2:$B$171,"MIXTO")*PARAMETROS!$B$7</f>
        <v>3142.5</v>
      </c>
      <c r="M16" s="20" t="n">
        <f aca="false">IFERROR(L16/K16,0)</f>
        <v>0</v>
      </c>
    </row>
    <row r="17" customFormat="false" ht="15" hidden="false" customHeight="false" outlineLevel="0" collapsed="false">
      <c r="A17" s="22" t="s">
        <v>28</v>
      </c>
      <c r="B17" s="23" t="n">
        <f aca="false">(SUMIFS(METAS_DIA!$D$2:$D$541,METAS_DIA!$B$2:$B$541,"MOVIL")+SUMIFS(METAS_DIA!$D$2:$D$541,METAS_DIA!$B$2:$B$541,"FIJO"))</f>
        <v>644021673.9987</v>
      </c>
      <c r="C17" s="23" t="n">
        <f aca="false">(SUMIFS(DIARIO!$D$2:$D$171,DIARIO!$B$2:$B$171,"MOVIL")+SUMIFS(DIARIO!$D$2:$D$171,DIARIO!$B$2:$B$171,"FIJO"))*PARAMETROS!$B$7</f>
        <v>712814057.9535</v>
      </c>
      <c r="D17" s="24" t="n">
        <f aca="false">IFERROR(C17/B17,0)</f>
        <v>1.10681687702787</v>
      </c>
      <c r="E17" s="25" t="n">
        <f aca="false">(SUMIFS(METAS_DIA!$E$2:$E$541,METAS_DIA!$B$2:$B$541,"MOVIL")+SUMIFS(METAS_DIA!$E$2:$E$541,METAS_DIA!$B$2:$B$541,"FIJO"))</f>
        <v>56232.181778985</v>
      </c>
      <c r="F17" s="25" t="n">
        <f aca="false">(SUMIFS(DIARIO!$E$2:$E$171,DIARIO!$B$2:$B$171,"MOVIL")+SUMIFS(DIARIO!$E$2:$E$171,DIARIO!$B$2:$B$171,"FIJO"))*PARAMETROS!$B$7</f>
        <v>37841.25</v>
      </c>
      <c r="G17" s="24" t="n">
        <f aca="false">IFERROR(F17/E17,0)</f>
        <v>0.672946501502134</v>
      </c>
      <c r="H17" s="25" t="s">
        <v>10</v>
      </c>
      <c r="I17" s="25" t="n">
        <f aca="false">(SUMIFS(DIARIO!$G$2:$G$171,DIARIO!$B$2:$B$171,"MOVIL")+SUMIFS(DIARIO!$G$2:$G$171,DIARIO!$B$2:$B$171,"FIJO"))*PARAMETROS!$B$7</f>
        <v>15330</v>
      </c>
      <c r="J17" s="24" t="n">
        <f aca="false">IFERROR(I17/H17,0)</f>
        <v>0</v>
      </c>
      <c r="K17" s="25" t="n">
        <f aca="false">SUMIF($K$14:$K$15,"&gt;0",$K$14:$K$15)</f>
        <v>4372.252136865</v>
      </c>
      <c r="L17" s="25" t="n">
        <f aca="false">SUMIF($K$14:$K$15,"&gt;0",$L$14:$L$15)</f>
        <v>6903.75</v>
      </c>
      <c r="M17" s="24" t="n">
        <f aca="false">IFERROR(L17/K17,0)</f>
        <v>1.57899173787131</v>
      </c>
    </row>
    <row r="18" customFormat="false" ht="15" hidden="false" customHeight="false" outlineLevel="0" collapsed="false">
      <c r="A18" s="26" t="s">
        <v>29</v>
      </c>
    </row>
    <row r="20" customFormat="false" ht="15" hidden="false" customHeight="false" outlineLevel="0" collapsed="false">
      <c r="A20" s="27" t="s">
        <v>30</v>
      </c>
    </row>
    <row r="21" customFormat="false" ht="15" hidden="false" customHeight="false" outlineLevel="0" collapsed="false">
      <c r="A21" s="15" t="s">
        <v>17</v>
      </c>
      <c r="B21" s="16" t="s">
        <v>31</v>
      </c>
      <c r="C21" s="16"/>
      <c r="D21" s="16"/>
      <c r="E21" s="16" t="s">
        <v>32</v>
      </c>
      <c r="F21" s="16"/>
      <c r="G21" s="16"/>
      <c r="H21" s="16" t="s">
        <v>33</v>
      </c>
      <c r="I21" s="16"/>
      <c r="J21" s="16"/>
    </row>
    <row r="22" customFormat="false" ht="15" hidden="false" customHeight="false" outlineLevel="0" collapsed="false">
      <c r="B22" s="28" t="s">
        <v>22</v>
      </c>
      <c r="C22" s="28" t="s">
        <v>23</v>
      </c>
      <c r="D22" s="28" t="s">
        <v>34</v>
      </c>
      <c r="E22" s="28" t="s">
        <v>22</v>
      </c>
      <c r="F22" s="28" t="s">
        <v>23</v>
      </c>
      <c r="G22" s="28" t="s">
        <v>34</v>
      </c>
      <c r="H22" s="28" t="s">
        <v>22</v>
      </c>
      <c r="I22" s="28" t="s">
        <v>23</v>
      </c>
      <c r="J22" s="28" t="s">
        <v>34</v>
      </c>
    </row>
    <row r="23" customFormat="false" ht="15" hidden="false" customHeight="false" outlineLevel="0" collapsed="false">
      <c r="A23" s="18" t="s">
        <v>25</v>
      </c>
      <c r="B23" s="19" t="n">
        <f aca="false">IFERROR(SUMIFS(METAS_DIA!$D$2:$D$541,METAS_DIA!$B$2:$B$541,"MOVIL")/SUMIFS(METAS_DIA!$E$2:$E$541,METAS_DIA!$B$2:$B$541,"MOVIL"),0)</f>
        <v>10203.599099038</v>
      </c>
      <c r="C23" s="19" t="n">
        <f aca="false">IFERROR(SUMIFS(DIARIO!$D$2:$D$171,DIARIO!$B$2:$B$171,"MOVIL")/SUMIFS(DIARIO!$E$2:$E$171,DIARIO!$B$2:$B$171,"MOVIL"),0)</f>
        <v>18096.1446622875</v>
      </c>
      <c r="D23" s="29" t="n">
        <f aca="false">IFERROR(C23/B23-1,0)</f>
        <v>0.773506042979847</v>
      </c>
      <c r="E23" s="19" t="s">
        <v>10</v>
      </c>
      <c r="F23" s="19" t="n">
        <f aca="false">IFERROR(SUMIFS(DIARIO!$D$2:$D$171,DIARIO!$B$2:$B$171,"MOVIL")/SUMIFS(DIARIO!$G$2:$G$171,DIARIO!$B$2:$B$171,"MOVIL"),0)</f>
        <v>54416.3567060631</v>
      </c>
      <c r="G23" s="29" t="n">
        <f aca="false">IFERROR(F23/E23-1,0)</f>
        <v>0</v>
      </c>
      <c r="H23" s="19" t="n">
        <f aca="false">IFERROR(SUMIFS(METAS_DIA!$D$2:$D$541,METAS_DIA!$B$2:$B$541,"MOVIL")/SUMIFS(METAS_DIA!$F$2:$F$541,METAS_DIA!$B$2:$B$541,"MOVIL"),0)</f>
        <v>0</v>
      </c>
      <c r="I23" s="19" t="n">
        <f aca="false">IFERROR(SUMIFS(DIARIO!$D$2:$D$171,DIARIO!$B$2:$B$171,"MOVIL")/SUMIFS(DIARIO!$H$2:$H$171,DIARIO!$B$2:$B$171,"MOVIL"),0)</f>
        <v>63176.5656454861</v>
      </c>
      <c r="J23" s="29" t="n">
        <f aca="false">IFERROR(I23/H23-1,0)</f>
        <v>0</v>
      </c>
    </row>
    <row r="24" customFormat="false" ht="15" hidden="false" customHeight="false" outlineLevel="0" collapsed="false">
      <c r="A24" s="18" t="s">
        <v>26</v>
      </c>
      <c r="B24" s="19" t="n">
        <f aca="false">IFERROR(SUMIFS(METAS_DIA!$D$2:$D$541,METAS_DIA!$B$2:$B$541,"FIJO")/SUMIFS(METAS_DIA!$E$2:$E$541,METAS_DIA!$B$2:$B$541,"FIJO"),0)</f>
        <v>12641.1680997851</v>
      </c>
      <c r="C24" s="19" t="n">
        <f aca="false">IFERROR(SUMIFS(DIARIO!$D$2:$D$171,DIARIO!$B$2:$B$171,"FIJO")/SUMIFS(DIARIO!$E$2:$E$171,DIARIO!$B$2:$B$171,"FIJO"),0)</f>
        <v>19735.1608868998</v>
      </c>
      <c r="D24" s="29" t="n">
        <f aca="false">IFERROR(C24/B24-1,0)</f>
        <v>0.561181746110581</v>
      </c>
      <c r="E24" s="19" t="s">
        <v>10</v>
      </c>
      <c r="F24" s="19" t="n">
        <f aca="false">IFERROR(SUMIFS(DIARIO!$D$2:$D$171,DIARIO!$B$2:$B$171,"FIJO")/SUMIFS(DIARIO!$G$2:$G$171,DIARIO!$B$2:$B$171,"FIJO"),0)</f>
        <v>40023.1519809471</v>
      </c>
      <c r="G24" s="29" t="n">
        <f aca="false">IFERROR(F24/E24-1,0)</f>
        <v>0</v>
      </c>
      <c r="H24" s="19" t="n">
        <f aca="false">IFERROR(SUMIFS(METAS_DIA!$D$2:$D$541,METAS_DIA!$B$2:$B$541,"FIJO")/SUMIFS(METAS_DIA!$F$2:$F$541,METAS_DIA!$B$2:$B$541,"FIJO"),0)</f>
        <v>83325.478172733</v>
      </c>
      <c r="I24" s="19" t="n">
        <f aca="false">IFERROR(SUMIFS(DIARIO!$D$2:$D$171,DIARIO!$B$2:$B$171,"FIJO")/SUMIFS(DIARIO!$H$2:$H$171,DIARIO!$B$2:$B$171,"FIJO"),0)</f>
        <v>48893.0303124117</v>
      </c>
      <c r="J24" s="29" t="n">
        <f aca="false">IFERROR(I24/H24-1,0)</f>
        <v>-0.413228326022242</v>
      </c>
    </row>
    <row r="25" customFormat="false" ht="15" hidden="false" customHeight="false" outlineLevel="0" collapsed="false">
      <c r="A25" s="18" t="s">
        <v>27</v>
      </c>
      <c r="B25" s="19" t="n">
        <f aca="false">IFERROR(SUMIFS(METAS_DIA!$D$2:$D$541,METAS_DIA!$B$2:$B$541,"MIXTO")/SUMIFS(METAS_DIA!$E$2:$E$541,METAS_DIA!$B$2:$B$541,"MIXTO"),0)</f>
        <v>5543.38169964907</v>
      </c>
      <c r="C25" s="19" t="n">
        <f aca="false">IFERROR(SUMIFS(DIARIO!$D$2:$D$171,DIARIO!$B$2:$B$171,"MIXTO")/SUMIFS(DIARIO!$E$2:$E$171,DIARIO!$B$2:$B$171,"MIXTO"),0)</f>
        <v>10284.466527171</v>
      </c>
      <c r="D25" s="29" t="n">
        <f aca="false">IFERROR(C25/B25-1,0)</f>
        <v>0.855269415747076</v>
      </c>
      <c r="E25" s="19" t="s">
        <v>10</v>
      </c>
      <c r="F25" s="19" t="n">
        <f aca="false">IFERROR(SUMIFS(DIARIO!$D$2:$D$171,DIARIO!$B$2:$B$171,"MIXTO")/SUMIFS(DIARIO!$G$2:$G$171,DIARIO!$B$2:$B$171,"MIXTO"),0)</f>
        <v>30624.8558809091</v>
      </c>
      <c r="G25" s="29" t="n">
        <f aca="false">IFERROR(F25/E25-1,0)</f>
        <v>0</v>
      </c>
      <c r="H25" s="19" t="n">
        <f aca="false">IFERROR(SUMIFS(METAS_DIA!$D$2:$D$541,METAS_DIA!$B$2:$B$541,"MIXTO")/SUMIFS(METAS_DIA!$F$2:$F$541,METAS_DIA!$B$2:$B$541,"MIXTO"),0)</f>
        <v>0</v>
      </c>
      <c r="I25" s="19" t="n">
        <f aca="false">IFERROR(SUMIFS(DIARIO!$D$2:$D$171,DIARIO!$B$2:$B$171,"MIXTO")/SUMIFS(DIARIO!$H$2:$H$171,DIARIO!$B$2:$B$171,"MIXTO"),0)</f>
        <v>36179.7223414081</v>
      </c>
      <c r="J25" s="29" t="n">
        <f aca="false">IFERROR(I25/H25-1,0)</f>
        <v>0</v>
      </c>
    </row>
    <row r="26" customFormat="false" ht="15" hidden="false" customHeight="false" outlineLevel="0" collapsed="false">
      <c r="A26" s="22" t="s">
        <v>28</v>
      </c>
      <c r="B26" s="23" t="n">
        <f aca="false">IFERROR((SUMIFS(METAS_DIA!$D$2:$D$541,METAS_DIA!$B$2:$B$541,"MOVIL")+SUMIFS(METAS_DIA!$D$2:$D$541,METAS_DIA!$B$2:$B$541,"FIJO"))/(SUMIFS(METAS_DIA!$E$2:$E$541,METAS_DIA!$B$2:$B$541,"MOVIL")+SUMIFS(METAS_DIA!$E$2:$E$541,METAS_DIA!$B$2:$B$541,"FIJO")),0)</f>
        <v>11452.9021215994</v>
      </c>
      <c r="C26" s="23" t="n">
        <f aca="false">IFERROR((SUMIFS(DIARIO!$D$2:$D$171,DIARIO!$B$2:$B$171,"MOVIL")+SUMIFS(DIARIO!$D$2:$D$171,DIARIO!$B$2:$B$171,"FIJO"))/(SUMIFS(DIARIO!$E$2:$E$171,DIARIO!$B$2:$B$171,"MOVIL")+SUMIFS(DIARIO!$E$2:$E$171,DIARIO!$B$2:$B$171,"FIJO")),0)</f>
        <v>18836.9585559013</v>
      </c>
      <c r="D26" s="30" t="n">
        <f aca="false">IFERROR(C26/B26-1,0)</f>
        <v>0.644732344335335</v>
      </c>
      <c r="E26" s="23" t="s">
        <v>10</v>
      </c>
      <c r="F26" s="23" t="n">
        <f aca="false">IFERROR((SUMIFS(DIARIO!$D$2:$D$171,DIARIO!$B$2:$B$171,"MOVIL")+SUMIFS(DIARIO!$D$2:$D$171,DIARIO!$B$2:$B$171,"FIJO"))/(SUMIFS(DIARIO!$G$2:$G$171,DIARIO!$B$2:$B$171,"MOVIL")+SUMIFS(DIARIO!$G$2:$G$171,DIARIO!$B$2:$B$171,"FIJO")),0)</f>
        <v>46497.9816016634</v>
      </c>
      <c r="G26" s="30" t="n">
        <f aca="false">IFERROR(F26/E26-1,0)</f>
        <v>0</v>
      </c>
      <c r="H26" s="23" t="n">
        <f aca="false">IFERROR(SUMIF($K$14:$K$15,"&gt;0",$B$14:$B$15)/SUMIF($K$14:$K$15,"&gt;0",$K$14:$K$15),0)</f>
        <v>83325.478172733</v>
      </c>
      <c r="I26" s="23" t="n">
        <f aca="false">IFERROR(SUMIF($K$14:$K$15,"&gt;0",$C$14:$C$15)/SUMIF($K$14:$K$15,"&gt;0",$L$14:$L$15),0)</f>
        <v>48893.0303124117</v>
      </c>
      <c r="J26" s="30" t="n">
        <f aca="false">IFERROR(I26/H26-1,0)</f>
        <v>-0.413228326022242</v>
      </c>
    </row>
    <row r="28" customFormat="false" ht="15" hidden="false" customHeight="false" outlineLevel="0" collapsed="false">
      <c r="A28" s="31" t="s">
        <v>35</v>
      </c>
    </row>
  </sheetData>
  <mergeCells count="15">
    <mergeCell ref="A1:F1"/>
    <mergeCell ref="J1:M1"/>
    <mergeCell ref="A2:F2"/>
    <mergeCell ref="A4:C4"/>
    <mergeCell ref="D4:F4"/>
    <mergeCell ref="G4:I4"/>
    <mergeCell ref="J4:L4"/>
    <mergeCell ref="M4:O4"/>
    <mergeCell ref="B12:D12"/>
    <mergeCell ref="E12:G12"/>
    <mergeCell ref="H12:J12"/>
    <mergeCell ref="K12:M12"/>
    <mergeCell ref="B21:D21"/>
    <mergeCell ref="E21:G21"/>
    <mergeCell ref="H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13" min="9" style="0" width="16"/>
    <col collapsed="false" customWidth="true" hidden="false" outlineLevel="0" max="14" min="14" style="0" width="2"/>
    <col collapsed="false" customWidth="true" hidden="false" outlineLevel="0" max="15" min="15" style="0" width="22"/>
    <col collapsed="false" customWidth="true" hidden="false" outlineLevel="0" max="18" min="16" style="0" width="16"/>
  </cols>
  <sheetData>
    <row r="1" customFormat="false" ht="15" hidden="false" customHeight="false" outlineLevel="0" collapsed="false">
      <c r="A1" s="32" t="s">
        <v>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customFormat="false" ht="15" hidden="false" customHeight="false" outlineLevel="0" collapsed="false">
      <c r="A2" s="33" t="s">
        <v>37</v>
      </c>
    </row>
    <row r="4" customFormat="false" ht="15" hidden="false" customHeight="false" outlineLevel="0" collapsed="false">
      <c r="A4" s="32" t="s">
        <v>38</v>
      </c>
      <c r="B4" s="32"/>
      <c r="C4" s="32"/>
      <c r="D4" s="32"/>
      <c r="E4" s="32"/>
      <c r="F4" s="32"/>
      <c r="H4" s="32" t="s">
        <v>39</v>
      </c>
      <c r="I4" s="32"/>
      <c r="J4" s="32"/>
      <c r="K4" s="32"/>
      <c r="L4" s="32"/>
      <c r="M4" s="32"/>
      <c r="O4" s="32" t="s">
        <v>40</v>
      </c>
      <c r="P4" s="32"/>
      <c r="Q4" s="32"/>
      <c r="R4" s="32"/>
    </row>
    <row r="5" customFormat="false" ht="15" hidden="false" customHeight="false" outlineLevel="0" collapsed="false">
      <c r="A5" s="34" t="s">
        <v>41</v>
      </c>
      <c r="B5" s="34" t="s">
        <v>42</v>
      </c>
      <c r="C5" s="34" t="s">
        <v>43</v>
      </c>
      <c r="D5" s="34" t="s">
        <v>44</v>
      </c>
      <c r="E5" s="34" t="s">
        <v>45</v>
      </c>
      <c r="F5" s="34" t="s">
        <v>46</v>
      </c>
      <c r="H5" s="34" t="s">
        <v>41</v>
      </c>
      <c r="I5" s="34" t="s">
        <v>47</v>
      </c>
      <c r="J5" s="34" t="s">
        <v>43</v>
      </c>
      <c r="K5" s="34" t="s">
        <v>48</v>
      </c>
      <c r="L5" s="34" t="s">
        <v>45</v>
      </c>
      <c r="M5" s="34" t="s">
        <v>49</v>
      </c>
      <c r="O5" s="34" t="s">
        <v>41</v>
      </c>
      <c r="P5" s="34" t="s">
        <v>8</v>
      </c>
      <c r="Q5" s="34" t="s">
        <v>31</v>
      </c>
      <c r="R5" s="34" t="s">
        <v>50</v>
      </c>
    </row>
    <row r="6" customFormat="false" ht="15" hidden="false" customHeight="false" outlineLevel="0" collapsed="false">
      <c r="A6" s="35" t="s">
        <v>51</v>
      </c>
      <c r="B6" s="19" t="n">
        <f aca="false">SUMIFS(METAS_DIA!$D$2:$D$541,METAS_DIA!$B$2:$B$541,"MOVIL",METAS_DIA!$C$2:$C$541,$A6)</f>
        <v>0</v>
      </c>
      <c r="C6" s="19" t="n">
        <f aca="false">SUMIFS(METAS_DIA!$D$2:$D$541,METAS_DIA!$B$2:$B$541,"MOVIL",METAS_DIA!$C$2:$C$541,$A6,METAS_DIA!$A$2:$A$541,"&lt;="&amp;PARAMETROS!$B$9)</f>
        <v>0</v>
      </c>
      <c r="D6" s="19" t="n">
        <f aca="false">SUMIFS(DIARIO!$D$2:$D$171,DIARIO!$B$2:$B$171,"MOVIL",DIARIO!$C$2:$C$171,$A6)</f>
        <v>0</v>
      </c>
      <c r="E6" s="20" t="n">
        <f aca="false">IFERROR(D6/C6,0)</f>
        <v>0</v>
      </c>
      <c r="F6" s="19" t="n">
        <f aca="false">D6*PARAMETROS!$B$7</f>
        <v>0</v>
      </c>
      <c r="H6" s="35" t="s">
        <v>51</v>
      </c>
      <c r="I6" s="21" t="n">
        <f aca="false">SUMIFS(METAS_DIA!$E$2:$E$541,METAS_DIA!$B$2:$B$541,"MOVIL",METAS_DIA!$C$2:$C$541,$H6)</f>
        <v>0</v>
      </c>
      <c r="J6" s="21" t="n">
        <f aca="false">SUMIFS(METAS_DIA!$E$2:$E$541,METAS_DIA!$B$2:$B$541,"MOVIL",METAS_DIA!$C$2:$C$541,$H6,METAS_DIA!$A$2:$A$541,"&lt;="&amp;PARAMETROS!$B$9)</f>
        <v>0</v>
      </c>
      <c r="K6" s="21" t="n">
        <f aca="false">SUMIFS(DIARIO!$E$2:$E$171,DIARIO!$B$2:$B$171,"MOVIL",DIARIO!$C$2:$C$171,$H6)</f>
        <v>0</v>
      </c>
      <c r="L6" s="20" t="n">
        <f aca="false">IFERROR(K6/J6,0)</f>
        <v>0</v>
      </c>
      <c r="M6" s="21" t="n">
        <f aca="false">K6*PARAMETROS!$B$7</f>
        <v>0</v>
      </c>
      <c r="O6" s="35" t="s">
        <v>51</v>
      </c>
      <c r="P6" s="19" t="n">
        <f aca="false">IFERROR(B6/I6,0)</f>
        <v>0</v>
      </c>
      <c r="Q6" s="19" t="n">
        <f aca="false">IFERROR(D6/K6,0)</f>
        <v>0</v>
      </c>
      <c r="R6" s="20" t="n">
        <f aca="false">IFERROR(Q6/P6,0)</f>
        <v>0</v>
      </c>
    </row>
    <row r="7" customFormat="false" ht="15" hidden="false" customHeight="false" outlineLevel="0" collapsed="false">
      <c r="A7" s="35" t="s">
        <v>52</v>
      </c>
      <c r="B7" s="19" t="n">
        <f aca="false">SUMIFS(METAS_DIA!$D$2:$D$541,METAS_DIA!$B$2:$B$541,"MOVIL",METAS_DIA!$C$2:$C$541,$A7)</f>
        <v>4999999.99997</v>
      </c>
      <c r="C7" s="19" t="n">
        <f aca="false">SUMIFS(METAS_DIA!$D$2:$D$541,METAS_DIA!$B$2:$B$541,"MOVIL",METAS_DIA!$C$2:$C$541,$A7,METAS_DIA!$A$2:$A$541,"&lt;="&amp;PARAMETROS!$B$9)</f>
        <v>1465601.5651</v>
      </c>
      <c r="D7" s="19" t="n">
        <f aca="false">SUMIFS(DIARIO!$D$2:$D$171,DIARIO!$B$2:$B$171,"MOVIL",DIARIO!$C$2:$C$171,$A7)</f>
        <v>376322.9148</v>
      </c>
      <c r="E7" s="20" t="n">
        <f aca="false">IFERROR(D7/C7,0)</f>
        <v>0.256770273559528</v>
      </c>
      <c r="F7" s="19" t="n">
        <f aca="false">D7*PARAMETROS!$B$7</f>
        <v>1411210.9305</v>
      </c>
      <c r="H7" s="35" t="s">
        <v>52</v>
      </c>
      <c r="I7" s="21" t="n">
        <f aca="false">SUMIFS(METAS_DIA!$E$2:$E$541,METAS_DIA!$B$2:$B$541,"MOVIL",METAS_DIA!$C$2:$C$541,$H7)</f>
        <v>714.285714274</v>
      </c>
      <c r="J7" s="21" t="n">
        <f aca="false">SUMIFS(METAS_DIA!$E$2:$E$541,METAS_DIA!$B$2:$B$541,"MOVIL",METAS_DIA!$C$2:$C$541,$H7,METAS_DIA!$A$2:$A$541,"&lt;="&amp;PARAMETROS!$B$9)</f>
        <v>209.37165215</v>
      </c>
      <c r="K7" s="21" t="n">
        <f aca="false">SUMIFS(DIARIO!$E$2:$E$171,DIARIO!$B$2:$B$171,"MOVIL",DIARIO!$C$2:$C$171,$H7)</f>
        <v>32</v>
      </c>
      <c r="L7" s="20" t="n">
        <f aca="false">IFERROR(K7/J7,0)</f>
        <v>0.152838264738315</v>
      </c>
      <c r="M7" s="21" t="n">
        <f aca="false">K7*PARAMETROS!$B$7</f>
        <v>120</v>
      </c>
      <c r="O7" s="35" t="s">
        <v>52</v>
      </c>
      <c r="P7" s="19" t="n">
        <f aca="false">IFERROR(B7/I7,0)</f>
        <v>7000.0000000728</v>
      </c>
      <c r="Q7" s="19" t="n">
        <f aca="false">IFERROR(D7/K7,0)</f>
        <v>11760.0910875</v>
      </c>
      <c r="R7" s="20" t="n">
        <f aca="false">IFERROR(Q7/P7,0)</f>
        <v>1.68001301248253</v>
      </c>
    </row>
    <row r="8" customFormat="false" ht="15" hidden="false" customHeight="false" outlineLevel="0" collapsed="false">
      <c r="A8" s="35" t="s">
        <v>53</v>
      </c>
      <c r="B8" s="19" t="n">
        <f aca="false">SUMIFS(METAS_DIA!$D$2:$D$541,METAS_DIA!$B$2:$B$541,"MOVIL",METAS_DIA!$C$2:$C$541,$A8)</f>
        <v>999999.99998</v>
      </c>
      <c r="C8" s="19" t="n">
        <f aca="false">SUMIFS(METAS_DIA!$D$2:$D$541,METAS_DIA!$B$2:$B$541,"MOVIL",METAS_DIA!$C$2:$C$541,$A8,METAS_DIA!$A$2:$A$541,"&lt;="&amp;PARAMETROS!$B$9)</f>
        <v>296000.08729</v>
      </c>
      <c r="D8" s="19" t="n">
        <f aca="false">SUMIFS(DIARIO!$D$2:$D$171,DIARIO!$B$2:$B$171,"MOVIL",DIARIO!$C$2:$C$171,$A8)</f>
        <v>295353.34605</v>
      </c>
      <c r="E8" s="20" t="n">
        <f aca="false">IFERROR(D8/C8,0)</f>
        <v>0.997815064022713</v>
      </c>
      <c r="F8" s="19" t="n">
        <f aca="false">D8*PARAMETROS!$B$7</f>
        <v>1107575.0476875</v>
      </c>
      <c r="H8" s="35" t="s">
        <v>53</v>
      </c>
      <c r="I8" s="21" t="n">
        <f aca="false">SUMIFS(METAS_DIA!$E$2:$E$541,METAS_DIA!$B$2:$B$541,"MOVIL",METAS_DIA!$C$2:$C$541,$H8)</f>
        <v>83.333333333</v>
      </c>
      <c r="J8" s="21" t="n">
        <f aca="false">SUMIFS(METAS_DIA!$E$2:$E$541,METAS_DIA!$B$2:$B$541,"MOVIL",METAS_DIA!$C$2:$C$541,$H8,METAS_DIA!$A$2:$A$541,"&lt;="&amp;PARAMETROS!$B$9)</f>
        <v>24.666673942</v>
      </c>
      <c r="K8" s="21" t="n">
        <f aca="false">SUMIFS(DIARIO!$E$2:$E$171,DIARIO!$B$2:$B$171,"MOVIL",DIARIO!$C$2:$C$171,$H8)</f>
        <v>147.5</v>
      </c>
      <c r="L8" s="20" t="n">
        <f aca="false">IFERROR(K8/J8,0)</f>
        <v>5.97972796603321</v>
      </c>
      <c r="M8" s="21" t="n">
        <f aca="false">K8*PARAMETROS!$B$7</f>
        <v>553.125</v>
      </c>
      <c r="O8" s="35" t="s">
        <v>53</v>
      </c>
      <c r="P8" s="19" t="n">
        <f aca="false">IFERROR(B8/I8,0)</f>
        <v>11999.999999808</v>
      </c>
      <c r="Q8" s="19" t="n">
        <f aca="false">IFERROR(D8/K8,0)</f>
        <v>2002.39556644068</v>
      </c>
      <c r="R8" s="20" t="n">
        <f aca="false">IFERROR(Q8/P8,0)</f>
        <v>0.16686629720606</v>
      </c>
    </row>
    <row r="9" customFormat="false" ht="15" hidden="false" customHeight="false" outlineLevel="0" collapsed="false">
      <c r="A9" s="35" t="s">
        <v>54</v>
      </c>
      <c r="B9" s="19" t="n">
        <f aca="false">SUMIFS(METAS_DIA!$D$2:$D$541,METAS_DIA!$B$2:$B$541,"MOVIL",METAS_DIA!$C$2:$C$541,$A9)</f>
        <v>4999999.99997</v>
      </c>
      <c r="C9" s="19" t="n">
        <f aca="false">SUMIFS(METAS_DIA!$D$2:$D$541,METAS_DIA!$B$2:$B$541,"MOVIL",METAS_DIA!$C$2:$C$541,$A9,METAS_DIA!$A$2:$A$541,"&lt;="&amp;PARAMETROS!$B$9)</f>
        <v>1465601.5651</v>
      </c>
      <c r="D9" s="19" t="n">
        <f aca="false">SUMIFS(DIARIO!$D$2:$D$171,DIARIO!$B$2:$B$171,"MOVIL",DIARIO!$C$2:$C$171,$A9)</f>
        <v>0</v>
      </c>
      <c r="E9" s="20" t="n">
        <f aca="false">IFERROR(D9/C9,0)</f>
        <v>0</v>
      </c>
      <c r="F9" s="19" t="n">
        <f aca="false">D9*PARAMETROS!$B$7</f>
        <v>0</v>
      </c>
      <c r="H9" s="35" t="s">
        <v>54</v>
      </c>
      <c r="I9" s="21" t="n">
        <f aca="false">SUMIFS(METAS_DIA!$E$2:$E$541,METAS_DIA!$B$2:$B$541,"MOVIL",METAS_DIA!$C$2:$C$541,$H9)</f>
        <v>684.650143755</v>
      </c>
      <c r="J9" s="21" t="n">
        <f aca="false">SUMIFS(METAS_DIA!$E$2:$E$541,METAS_DIA!$B$2:$B$541,"MOVIL",METAS_DIA!$C$2:$C$541,$H9,METAS_DIA!$A$2:$A$541,"&lt;="&amp;PARAMETROS!$B$9)</f>
        <v>200.68486446</v>
      </c>
      <c r="K9" s="21" t="n">
        <f aca="false">SUMIFS(DIARIO!$E$2:$E$171,DIARIO!$B$2:$B$171,"MOVIL",DIARIO!$C$2:$C$171,$H9)</f>
        <v>0</v>
      </c>
      <c r="L9" s="20" t="n">
        <f aca="false">IFERROR(K9/J9,0)</f>
        <v>0</v>
      </c>
      <c r="M9" s="21" t="n">
        <f aca="false">K9*PARAMETROS!$B$7</f>
        <v>0</v>
      </c>
      <c r="O9" s="35" t="s">
        <v>54</v>
      </c>
      <c r="P9" s="19" t="n">
        <f aca="false">IFERROR(B9/I9,0)</f>
        <v>7303.00000018584</v>
      </c>
      <c r="Q9" s="19" t="n">
        <f aca="false">IFERROR(D9/K9,0)</f>
        <v>0</v>
      </c>
      <c r="R9" s="20" t="n">
        <f aca="false">IFERROR(Q9/P9,0)</f>
        <v>0</v>
      </c>
    </row>
    <row r="10" customFormat="false" ht="15" hidden="false" customHeight="false" outlineLevel="0" collapsed="false">
      <c r="A10" s="35" t="s">
        <v>22</v>
      </c>
      <c r="B10" s="19" t="n">
        <f aca="false">SUMIFS(METAS_DIA!$D$2:$D$541,METAS_DIA!$B$2:$B$541,"MOVIL",METAS_DIA!$C$2:$C$541,$A10)</f>
        <v>20000000.0005</v>
      </c>
      <c r="C10" s="19" t="n">
        <f aca="false">SUMIFS(METAS_DIA!$D$2:$D$541,METAS_DIA!$B$2:$B$541,"MOVIL",METAS_DIA!$C$2:$C$541,$A10,METAS_DIA!$A$2:$A$541,"&lt;="&amp;PARAMETROS!$B$9)</f>
        <v>5862406.2603</v>
      </c>
      <c r="D10" s="19" t="n">
        <f aca="false">SUMIFS(DIARIO!$D$2:$D$171,DIARIO!$B$2:$B$171,"MOVIL",DIARIO!$C$2:$C$171,$A10)</f>
        <v>6256117.8666</v>
      </c>
      <c r="E10" s="20" t="n">
        <f aca="false">IFERROR(D10/C10,0)</f>
        <v>1.06715870392098</v>
      </c>
      <c r="F10" s="19" t="n">
        <f aca="false">D10*PARAMETROS!$B$7</f>
        <v>23460441.99975</v>
      </c>
      <c r="H10" s="35" t="s">
        <v>22</v>
      </c>
      <c r="I10" s="21" t="n">
        <f aca="false">SUMIFS(METAS_DIA!$E$2:$E$541,METAS_DIA!$B$2:$B$541,"MOVIL",METAS_DIA!$C$2:$C$541,$H10)</f>
        <v>2777.77777779</v>
      </c>
      <c r="J10" s="21" t="n">
        <f aca="false">SUMIFS(METAS_DIA!$E$2:$E$541,METAS_DIA!$B$2:$B$541,"MOVIL",METAS_DIA!$C$2:$C$541,$H10,METAS_DIA!$A$2:$A$541,"&lt;="&amp;PARAMETROS!$B$9)</f>
        <v>814.22309177</v>
      </c>
      <c r="K10" s="21" t="n">
        <f aca="false">SUMIFS(DIARIO!$E$2:$E$171,DIARIO!$B$2:$B$171,"MOVIL",DIARIO!$C$2:$C$171,$H10)</f>
        <v>1039</v>
      </c>
      <c r="L10" s="20" t="n">
        <f aca="false">IFERROR(K10/J10,0)</f>
        <v>1.27606304771014</v>
      </c>
      <c r="M10" s="21" t="n">
        <f aca="false">K10*PARAMETROS!$B$7</f>
        <v>3896.25</v>
      </c>
      <c r="O10" s="35" t="s">
        <v>22</v>
      </c>
      <c r="P10" s="19" t="n">
        <f aca="false">IFERROR(B10/I10,0)</f>
        <v>7200.00000014832</v>
      </c>
      <c r="Q10" s="19" t="n">
        <f aca="false">IFERROR(D10/K10,0)</f>
        <v>6021.28764831569</v>
      </c>
      <c r="R10" s="20" t="n">
        <f aca="false">IFERROR(Q10/P10,0)</f>
        <v>0.836289951137729</v>
      </c>
    </row>
    <row r="11" customFormat="false" ht="15" hidden="false" customHeight="false" outlineLevel="0" collapsed="false">
      <c r="A11" s="35" t="s">
        <v>55</v>
      </c>
      <c r="B11" s="19" t="n">
        <f aca="false">SUMIFS(METAS_DIA!$D$2:$D$541,METAS_DIA!$B$2:$B$541,"MOVIL",METAS_DIA!$C$2:$C$541,$A11)</f>
        <v>25000000.0007</v>
      </c>
      <c r="C11" s="19" t="n">
        <f aca="false">SUMIFS(METAS_DIA!$D$2:$D$541,METAS_DIA!$B$2:$B$541,"MOVIL",METAS_DIA!$C$2:$C$541,$A11,METAS_DIA!$A$2:$A$541,"&lt;="&amp;PARAMETROS!$B$9)</f>
        <v>7328007.8254</v>
      </c>
      <c r="D11" s="19" t="n">
        <f aca="false">SUMIFS(DIARIO!$D$2:$D$171,DIARIO!$B$2:$B$171,"MOVIL",DIARIO!$C$2:$C$171,$A11)</f>
        <v>4554627.48</v>
      </c>
      <c r="E11" s="20" t="n">
        <f aca="false">IFERROR(D11/C11,0)</f>
        <v>0.621536929069994</v>
      </c>
      <c r="F11" s="19" t="n">
        <f aca="false">D11*PARAMETROS!$B$7</f>
        <v>17079853.05</v>
      </c>
      <c r="H11" s="35" t="s">
        <v>55</v>
      </c>
      <c r="I11" s="21" t="n">
        <f aca="false">SUMIFS(METAS_DIA!$E$2:$E$541,METAS_DIA!$B$2:$B$541,"MOVIL",METAS_DIA!$C$2:$C$541,$H11)</f>
        <v>1785.71428572</v>
      </c>
      <c r="J11" s="21" t="n">
        <f aca="false">SUMIFS(METAS_DIA!$E$2:$E$541,METAS_DIA!$B$2:$B$541,"MOVIL",METAS_DIA!$C$2:$C$541,$H11,METAS_DIA!$A$2:$A$541,"&lt;="&amp;PARAMETROS!$B$9)</f>
        <v>523.42913038</v>
      </c>
      <c r="K11" s="21" t="n">
        <f aca="false">SUMIFS(DIARIO!$E$2:$E$171,DIARIO!$B$2:$B$171,"MOVIL",DIARIO!$C$2:$C$171,$H11)</f>
        <v>233</v>
      </c>
      <c r="L11" s="20" t="n">
        <f aca="false">IFERROR(K11/J11,0)</f>
        <v>0.445141446046089</v>
      </c>
      <c r="M11" s="21" t="n">
        <f aca="false">K11*PARAMETROS!$B$7</f>
        <v>873.75</v>
      </c>
      <c r="O11" s="35" t="s">
        <v>55</v>
      </c>
      <c r="P11" s="19" t="n">
        <f aca="false">IFERROR(B11/I11,0)</f>
        <v>14000.0000003472</v>
      </c>
      <c r="Q11" s="19" t="n">
        <f aca="false">IFERROR(D11/K11,0)</f>
        <v>19547.7574248927</v>
      </c>
      <c r="R11" s="20" t="n">
        <f aca="false">IFERROR(Q11/P11,0)</f>
        <v>1.39626838745771</v>
      </c>
    </row>
    <row r="12" customFormat="false" ht="15" hidden="false" customHeight="false" outlineLevel="0" collapsed="false">
      <c r="A12" s="35" t="s">
        <v>56</v>
      </c>
      <c r="B12" s="19" t="n">
        <f aca="false">SUMIFS(METAS_DIA!$D$2:$D$541,METAS_DIA!$B$2:$B$541,"MOVIL",METAS_DIA!$C$2:$C$541,$A12)</f>
        <v>9000000.00005</v>
      </c>
      <c r="C12" s="19" t="n">
        <f aca="false">SUMIFS(METAS_DIA!$D$2:$D$541,METAS_DIA!$B$2:$B$541,"MOVIL",METAS_DIA!$C$2:$C$541,$A12,METAS_DIA!$A$2:$A$541,"&lt;="&amp;PARAMETROS!$B$9)</f>
        <v>2664000.78585</v>
      </c>
      <c r="D12" s="19" t="n">
        <f aca="false">SUMIFS(DIARIO!$D$2:$D$171,DIARIO!$B$2:$B$171,"MOVIL",DIARIO!$C$2:$C$171,$A12)</f>
        <v>5044319.16</v>
      </c>
      <c r="E12" s="20" t="n">
        <f aca="false">IFERROR(D12/C12,0)</f>
        <v>1.89351263963329</v>
      </c>
      <c r="F12" s="19" t="n">
        <f aca="false">D12*PARAMETROS!$B$7</f>
        <v>18916196.85</v>
      </c>
      <c r="H12" s="35" t="s">
        <v>56</v>
      </c>
      <c r="I12" s="21" t="n">
        <f aca="false">SUMIFS(METAS_DIA!$E$2:$E$541,METAS_DIA!$B$2:$B$541,"MOVIL",METAS_DIA!$C$2:$C$541,$H12)</f>
        <v>1125.000000015</v>
      </c>
      <c r="J12" s="21" t="n">
        <f aca="false">SUMIFS(METAS_DIA!$E$2:$E$541,METAS_DIA!$B$2:$B$541,"MOVIL",METAS_DIA!$C$2:$C$541,$H12,METAS_DIA!$A$2:$A$541,"&lt;="&amp;PARAMETROS!$B$9)</f>
        <v>333.000098235</v>
      </c>
      <c r="K12" s="21" t="n">
        <f aca="false">SUMIFS(DIARIO!$E$2:$E$171,DIARIO!$B$2:$B$171,"MOVIL",DIARIO!$C$2:$C$171,$H12)</f>
        <v>302</v>
      </c>
      <c r="L12" s="20" t="n">
        <f aca="false">IFERROR(K12/J12,0)</f>
        <v>0.906906639369448</v>
      </c>
      <c r="M12" s="21" t="n">
        <f aca="false">K12*PARAMETROS!$B$7</f>
        <v>1132.5</v>
      </c>
      <c r="O12" s="35" t="s">
        <v>56</v>
      </c>
      <c r="P12" s="19" t="n">
        <f aca="false">IFERROR(B12/I12,0)</f>
        <v>7999.99999993778</v>
      </c>
      <c r="Q12" s="19" t="n">
        <f aca="false">IFERROR(D12/K12,0)</f>
        <v>16703.0435761589</v>
      </c>
      <c r="R12" s="20" t="n">
        <f aca="false">IFERROR(Q12/P12,0)</f>
        <v>2.08788044703611</v>
      </c>
    </row>
    <row r="13" customFormat="false" ht="15" hidden="false" customHeight="false" outlineLevel="0" collapsed="false">
      <c r="A13" s="35" t="s">
        <v>57</v>
      </c>
      <c r="B13" s="19" t="n">
        <f aca="false">SUMIFS(METAS_DIA!$D$2:$D$541,METAS_DIA!$B$2:$B$541,"MOVIL",METAS_DIA!$C$2:$C$541,$A13)</f>
        <v>164701674.002</v>
      </c>
      <c r="C13" s="19" t="n">
        <f aca="false">SUMIFS(METAS_DIA!$D$2:$D$541,METAS_DIA!$B$2:$B$541,"MOVIL",METAS_DIA!$C$2:$C$541,$A13,METAS_DIA!$A$2:$A$541,"&lt;="&amp;PARAMETROS!$B$9)</f>
        <v>48277406.237</v>
      </c>
      <c r="D13" s="19" t="n">
        <f aca="false">SUMIFS(DIARIO!$D$2:$D$171,DIARIO!$B$2:$B$171,"MOVIL",DIARIO!$C$2:$C$171,$A13)</f>
        <v>73725308.06</v>
      </c>
      <c r="E13" s="20" t="n">
        <f aca="false">IFERROR(D13/C13,0)</f>
        <v>1.52711824860832</v>
      </c>
      <c r="F13" s="19" t="n">
        <f aca="false">D13*PARAMETROS!$B$7</f>
        <v>276469905.225</v>
      </c>
      <c r="H13" s="35" t="s">
        <v>57</v>
      </c>
      <c r="I13" s="21" t="n">
        <f aca="false">SUMIFS(METAS_DIA!$E$2:$E$541,METAS_DIA!$B$2:$B$541,"MOVIL",METAS_DIA!$C$2:$C$541,$H13)</f>
        <v>10625.9144515</v>
      </c>
      <c r="J13" s="21" t="n">
        <f aca="false">SUMIFS(METAS_DIA!$E$2:$E$541,METAS_DIA!$B$2:$B$541,"MOVIL",METAS_DIA!$C$2:$C$541,$H13,METAS_DIA!$A$2:$A$541,"&lt;="&amp;PARAMETROS!$B$9)</f>
        <v>3114.6713701</v>
      </c>
      <c r="K13" s="21" t="n">
        <f aca="false">SUMIFS(DIARIO!$E$2:$E$171,DIARIO!$B$2:$B$171,"MOVIL",DIARIO!$C$2:$C$171,$H13)</f>
        <v>2752</v>
      </c>
      <c r="L13" s="20" t="n">
        <f aca="false">IFERROR(K13/J13,0)</f>
        <v>0.883560309578228</v>
      </c>
      <c r="M13" s="21" t="n">
        <f aca="false">K13*PARAMETROS!$B$7</f>
        <v>10320</v>
      </c>
      <c r="O13" s="35" t="s">
        <v>57</v>
      </c>
      <c r="P13" s="19" t="n">
        <f aca="false">IFERROR(B13/I13,0)</f>
        <v>15500.0000003529</v>
      </c>
      <c r="Q13" s="19" t="n">
        <f aca="false">IFERROR(D13/K13,0)</f>
        <v>26789.7194985465</v>
      </c>
      <c r="R13" s="20" t="n">
        <f aca="false">IFERROR(Q13/P13,0)</f>
        <v>1.72836899986687</v>
      </c>
    </row>
    <row r="14" customFormat="false" ht="15" hidden="false" customHeight="false" outlineLevel="0" collapsed="false">
      <c r="A14" s="35" t="s">
        <v>58</v>
      </c>
      <c r="B14" s="19" t="n">
        <f aca="false">SUMIFS(METAS_DIA!$D$2:$D$541,METAS_DIA!$B$2:$B$541,"MOVIL",METAS_DIA!$C$2:$C$541,$A14)</f>
        <v>49999999.9995</v>
      </c>
      <c r="C14" s="19" t="n">
        <f aca="false">SUMIFS(METAS_DIA!$D$2:$D$541,METAS_DIA!$B$2:$B$541,"MOVIL",METAS_DIA!$C$2:$C$541,$A14,METAS_DIA!$A$2:$A$541,"&lt;="&amp;PARAMETROS!$B$9)</f>
        <v>14800004.3655</v>
      </c>
      <c r="D14" s="19" t="n">
        <f aca="false">SUMIFS(DIARIO!$D$2:$D$171,DIARIO!$B$2:$B$171,"MOVIL",DIARIO!$C$2:$C$171,$A14)</f>
        <v>9819631.155</v>
      </c>
      <c r="E14" s="20" t="n">
        <f aca="false">IFERROR(D14/C14,0)</f>
        <v>0.663488395847392</v>
      </c>
      <c r="F14" s="19" t="n">
        <f aca="false">D14*PARAMETROS!$B$7</f>
        <v>36823616.83125</v>
      </c>
      <c r="H14" s="35" t="s">
        <v>58</v>
      </c>
      <c r="I14" s="21" t="n">
        <f aca="false">SUMIFS(METAS_DIA!$E$2:$E$541,METAS_DIA!$B$2:$B$541,"MOVIL",METAS_DIA!$C$2:$C$541,$H14)</f>
        <v>9615.38461545</v>
      </c>
      <c r="J14" s="21" t="n">
        <f aca="false">SUMIFS(METAS_DIA!$E$2:$E$541,METAS_DIA!$B$2:$B$541,"MOVIL",METAS_DIA!$C$2:$C$541,$H14,METAS_DIA!$A$2:$A$541,"&lt;="&amp;PARAMETROS!$B$9)</f>
        <v>2846.15468575</v>
      </c>
      <c r="K14" s="21" t="n">
        <f aca="false">SUMIFS(DIARIO!$E$2:$E$171,DIARIO!$B$2:$B$171,"MOVIL",DIARIO!$C$2:$C$171,$H14)</f>
        <v>1024.5</v>
      </c>
      <c r="L14" s="20" t="n">
        <f aca="false">IFERROR(K14/J14,0)</f>
        <v>0.359959353273882</v>
      </c>
      <c r="M14" s="21" t="n">
        <f aca="false">K14*PARAMETROS!$B$7</f>
        <v>3841.875</v>
      </c>
      <c r="O14" s="35" t="s">
        <v>58</v>
      </c>
      <c r="P14" s="19" t="n">
        <f aca="false">IFERROR(B14/I14,0)</f>
        <v>5199.99999991264</v>
      </c>
      <c r="Q14" s="19" t="n">
        <f aca="false">IFERROR(D14/K14,0)</f>
        <v>9584.80346998536</v>
      </c>
      <c r="R14" s="20" t="n">
        <f aca="false">IFERROR(Q14/P14,0)</f>
        <v>1.84323143656661</v>
      </c>
    </row>
    <row r="15" customFormat="false" ht="15" hidden="false" customHeight="false" outlineLevel="0" collapsed="false">
      <c r="A15" s="35" t="s">
        <v>59</v>
      </c>
      <c r="B15" s="19" t="n">
        <f aca="false">SUMIFS(METAS_DIA!$D$2:$D$541,METAS_DIA!$B$2:$B$541,"MOVIL",METAS_DIA!$C$2:$C$541,$A15)</f>
        <v>0</v>
      </c>
      <c r="C15" s="19" t="n">
        <f aca="false">SUMIFS(METAS_DIA!$D$2:$D$541,METAS_DIA!$B$2:$B$541,"MOVIL",METAS_DIA!$C$2:$C$541,$A15,METAS_DIA!$A$2:$A$541,"&lt;="&amp;PARAMETROS!$B$9)</f>
        <v>0</v>
      </c>
      <c r="D15" s="19" t="n">
        <f aca="false">SUMIFS(DIARIO!$D$2:$D$171,DIARIO!$B$2:$B$171,"MOVIL",DIARIO!$C$2:$C$171,$A15)</f>
        <v>0</v>
      </c>
      <c r="E15" s="20" t="n">
        <f aca="false">IFERROR(D15/C15,0)</f>
        <v>0</v>
      </c>
      <c r="F15" s="19" t="n">
        <f aca="false">D15*PARAMETROS!$B$7</f>
        <v>0</v>
      </c>
      <c r="H15" s="35" t="s">
        <v>59</v>
      </c>
      <c r="I15" s="21" t="n">
        <f aca="false">SUMIFS(METAS_DIA!$E$2:$E$541,METAS_DIA!$B$2:$B$541,"MOVIL",METAS_DIA!$C$2:$C$541,$H15)</f>
        <v>0</v>
      </c>
      <c r="J15" s="21" t="n">
        <f aca="false">SUMIFS(METAS_DIA!$E$2:$E$541,METAS_DIA!$B$2:$B$541,"MOVIL",METAS_DIA!$C$2:$C$541,$H15,METAS_DIA!$A$2:$A$541,"&lt;="&amp;PARAMETROS!$B$9)</f>
        <v>0</v>
      </c>
      <c r="K15" s="21" t="n">
        <f aca="false">SUMIFS(DIARIO!$E$2:$E$171,DIARIO!$B$2:$B$171,"MOVIL",DIARIO!$C$2:$C$171,$H15)</f>
        <v>0</v>
      </c>
      <c r="L15" s="20" t="n">
        <f aca="false">IFERROR(K15/J15,0)</f>
        <v>0</v>
      </c>
      <c r="M15" s="21" t="n">
        <f aca="false">K15*PARAMETROS!$B$7</f>
        <v>0</v>
      </c>
      <c r="O15" s="35" t="s">
        <v>59</v>
      </c>
      <c r="P15" s="19" t="n">
        <f aca="false">IFERROR(B15/I15,0)</f>
        <v>0</v>
      </c>
      <c r="Q15" s="19" t="n">
        <f aca="false">IFERROR(D15/K15,0)</f>
        <v>0</v>
      </c>
      <c r="R15" s="20" t="n">
        <f aca="false">IFERROR(Q15/P15,0)</f>
        <v>0</v>
      </c>
    </row>
    <row r="16" customFormat="false" ht="15" hidden="false" customHeight="false" outlineLevel="0" collapsed="false">
      <c r="A16" s="22" t="s">
        <v>60</v>
      </c>
      <c r="B16" s="23" t="n">
        <f aca="false">SUM(B6:B15)</f>
        <v>279701674.00267</v>
      </c>
      <c r="C16" s="23" t="n">
        <f aca="false">SUM(C6:C15)</f>
        <v>82159028.69154</v>
      </c>
      <c r="D16" s="23" t="n">
        <f aca="false">SUM(D6:D15)</f>
        <v>100071679.98245</v>
      </c>
      <c r="E16" s="24" t="n">
        <f aca="false">IFERROR(D16/C16,0)</f>
        <v>1.21802413655792</v>
      </c>
      <c r="F16" s="23" t="n">
        <f aca="false">SUM(F6:F15)</f>
        <v>375268799.934188</v>
      </c>
      <c r="H16" s="22" t="s">
        <v>60</v>
      </c>
      <c r="I16" s="25" t="n">
        <f aca="false">SUM(I6:I15)</f>
        <v>27412.060321837</v>
      </c>
      <c r="J16" s="25" t="n">
        <f aca="false">SUM(J6:J15)</f>
        <v>8066.201566787</v>
      </c>
      <c r="K16" s="25" t="n">
        <f aca="false">SUM(K6:K15)</f>
        <v>5530</v>
      </c>
      <c r="L16" s="24" t="n">
        <f aca="false">IFERROR(K16/J16,0)</f>
        <v>0.685576718386267</v>
      </c>
      <c r="M16" s="25" t="n">
        <f aca="false">SUM(M6:M15)</f>
        <v>20737.5</v>
      </c>
      <c r="O16" s="22" t="s">
        <v>60</v>
      </c>
      <c r="P16" s="23" t="n">
        <f aca="false">IFERROR(B16/I16,0)</f>
        <v>10203.599099038</v>
      </c>
      <c r="Q16" s="23" t="n">
        <f aca="false">IFERROR(D16/K16,0)</f>
        <v>18096.1446622875</v>
      </c>
      <c r="R16" s="24" t="n">
        <f aca="false">IFERROR(Q16/P16,0)</f>
        <v>1.77350604297985</v>
      </c>
    </row>
    <row r="18" customFormat="false" ht="15" hidden="false" customHeight="false" outlineLevel="0" collapsed="false">
      <c r="A18" s="36" t="s">
        <v>61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32.8" hidden="false" customHeight="false" outlineLevel="0" collapsed="false">
      <c r="A19" s="34" t="s">
        <v>41</v>
      </c>
      <c r="B19" s="34" t="s">
        <v>62</v>
      </c>
      <c r="C19" s="34" t="s">
        <v>63</v>
      </c>
      <c r="D19" s="34" t="s">
        <v>64</v>
      </c>
      <c r="E19" s="34" t="s">
        <v>65</v>
      </c>
      <c r="F19" s="34" t="s">
        <v>66</v>
      </c>
      <c r="G19" s="34" t="s">
        <v>32</v>
      </c>
      <c r="H19" s="34" t="s">
        <v>67</v>
      </c>
      <c r="I19" s="34" t="s">
        <v>68</v>
      </c>
      <c r="J19" s="34" t="s">
        <v>33</v>
      </c>
    </row>
    <row r="20" customFormat="false" ht="15" hidden="false" customHeight="false" outlineLevel="0" collapsed="false">
      <c r="A20" s="35" t="s">
        <v>51</v>
      </c>
      <c r="B20" s="37" t="n">
        <f aca="false">SUMIFS(DIARIO!$F$2:$F$171,DIARIO!$B$2:$B$171,"MOVIL",DIARIO!$C$2:$C$171,$A20)</f>
        <v>468</v>
      </c>
      <c r="C20" s="37" t="n">
        <f aca="false">B20*PARAMETROS!$B$7</f>
        <v>1755</v>
      </c>
      <c r="D20" s="19" t="n">
        <f aca="false">IFERROR(SUMIFS(DIARIO!$D$2:$D$171,DIARIO!$B$2:$B$171,"MOVIL",DIARIO!$C$2:$C$171,$A20)/B20,0)</f>
        <v>0</v>
      </c>
      <c r="E20" s="37" t="n">
        <f aca="false">SUMIFS(DIARIO!$G$2:$G$171,DIARIO!$B$2:$B$171,"MOVIL",DIARIO!$C$2:$C$171,$A20)</f>
        <v>251</v>
      </c>
      <c r="F20" s="37" t="n">
        <f aca="false">E20*PARAMETROS!$B$7</f>
        <v>941.25</v>
      </c>
      <c r="G20" s="19" t="n">
        <f aca="false">IFERROR(SUMIFS(DIARIO!$D$2:$D$171,DIARIO!$B$2:$B$171,"MOVIL",DIARIO!$C$2:$C$171,$A20)/E20,0)</f>
        <v>0</v>
      </c>
      <c r="H20" s="37" t="n">
        <f aca="false">SUMIFS(DIARIO!$H$2:$H$171,DIARIO!$B$2:$B$171,"MOVIL",DIARIO!$C$2:$C$171,$A20)</f>
        <v>207</v>
      </c>
      <c r="I20" s="37" t="n">
        <f aca="false">H20*PARAMETROS!$B$7</f>
        <v>776.25</v>
      </c>
      <c r="J20" s="19" t="n">
        <f aca="false">IFERROR(SUMIFS(DIARIO!$D$2:$D$171,DIARIO!$B$2:$B$171,"MOVIL",DIARIO!$C$2:$C$171,$A20)/H20,0)</f>
        <v>0</v>
      </c>
    </row>
    <row r="21" customFormat="false" ht="15" hidden="false" customHeight="false" outlineLevel="0" collapsed="false">
      <c r="A21" s="35" t="s">
        <v>52</v>
      </c>
      <c r="B21" s="37" t="n">
        <f aca="false">SUMIFS(DIARIO!$F$2:$F$171,DIARIO!$B$2:$B$171,"MOVIL",DIARIO!$C$2:$C$171,$A21)</f>
        <v>23</v>
      </c>
      <c r="C21" s="37" t="n">
        <f aca="false">B21*PARAMETROS!$B$7</f>
        <v>86.25</v>
      </c>
      <c r="D21" s="19" t="n">
        <f aca="false">IFERROR(SUMIFS(DIARIO!$D$2:$D$171,DIARIO!$B$2:$B$171,"MOVIL",DIARIO!$C$2:$C$171,$A21)/B21,0)</f>
        <v>16361.8658608696</v>
      </c>
      <c r="E21" s="37" t="n">
        <f aca="false">SUMIFS(DIARIO!$G$2:$G$171,DIARIO!$B$2:$B$171,"MOVIL",DIARIO!$C$2:$C$171,$A21)</f>
        <v>19</v>
      </c>
      <c r="F21" s="37" t="n">
        <f aca="false">E21*PARAMETROS!$B$7</f>
        <v>71.25</v>
      </c>
      <c r="G21" s="19" t="n">
        <f aca="false">IFERROR(SUMIFS(DIARIO!$D$2:$D$171,DIARIO!$B$2:$B$171,"MOVIL",DIARIO!$C$2:$C$171,$A21)/E21,0)</f>
        <v>19806.4692</v>
      </c>
      <c r="H21" s="37" t="n">
        <f aca="false">SUMIFS(DIARIO!$H$2:$H$171,DIARIO!$B$2:$B$171,"MOVIL",DIARIO!$C$2:$C$171,$A21)</f>
        <v>15</v>
      </c>
      <c r="I21" s="37" t="n">
        <f aca="false">H21*PARAMETROS!$B$7</f>
        <v>56.25</v>
      </c>
      <c r="J21" s="19" t="n">
        <f aca="false">IFERROR(SUMIFS(DIARIO!$D$2:$D$171,DIARIO!$B$2:$B$171,"MOVIL",DIARIO!$C$2:$C$171,$A21)/H21,0)</f>
        <v>25088.19432</v>
      </c>
    </row>
    <row r="22" customFormat="false" ht="15" hidden="false" customHeight="false" outlineLevel="0" collapsed="false">
      <c r="A22" s="35" t="s">
        <v>53</v>
      </c>
      <c r="B22" s="37" t="n">
        <f aca="false">SUMIFS(DIARIO!$F$2:$F$171,DIARIO!$B$2:$B$171,"MOVIL",DIARIO!$C$2:$C$171,$A22)</f>
        <v>59</v>
      </c>
      <c r="C22" s="37" t="n">
        <f aca="false">B22*PARAMETROS!$B$7</f>
        <v>221.25</v>
      </c>
      <c r="D22" s="19" t="n">
        <f aca="false">IFERROR(SUMIFS(DIARIO!$D$2:$D$171,DIARIO!$B$2:$B$171,"MOVIL",DIARIO!$C$2:$C$171,$A22)/B22,0)</f>
        <v>5005.98891610169</v>
      </c>
      <c r="E22" s="37" t="n">
        <f aca="false">SUMIFS(DIARIO!$G$2:$G$171,DIARIO!$B$2:$B$171,"MOVIL",DIARIO!$C$2:$C$171,$A22)</f>
        <v>31.5</v>
      </c>
      <c r="F22" s="37" t="n">
        <f aca="false">E22*PARAMETROS!$B$7</f>
        <v>118.125</v>
      </c>
      <c r="G22" s="19" t="n">
        <f aca="false">IFERROR(SUMIFS(DIARIO!$D$2:$D$171,DIARIO!$B$2:$B$171,"MOVIL",DIARIO!$C$2:$C$171,$A22)/E22,0)</f>
        <v>9376.2967</v>
      </c>
      <c r="H22" s="37" t="n">
        <f aca="false">SUMIFS(DIARIO!$H$2:$H$171,DIARIO!$B$2:$B$171,"MOVIL",DIARIO!$C$2:$C$171,$A22)</f>
        <v>22</v>
      </c>
      <c r="I22" s="37" t="n">
        <f aca="false">H22*PARAMETROS!$B$7</f>
        <v>82.5</v>
      </c>
      <c r="J22" s="19" t="n">
        <f aca="false">IFERROR(SUMIFS(DIARIO!$D$2:$D$171,DIARIO!$B$2:$B$171,"MOVIL",DIARIO!$C$2:$C$171,$A22)/H22,0)</f>
        <v>13425.1520931818</v>
      </c>
    </row>
    <row r="23" customFormat="false" ht="15" hidden="false" customHeight="false" outlineLevel="0" collapsed="false">
      <c r="A23" s="35" t="s">
        <v>54</v>
      </c>
      <c r="B23" s="37" t="n">
        <f aca="false">SUMIFS(DIARIO!$F$2:$F$171,DIARIO!$B$2:$B$171,"MOVIL",DIARIO!$C$2:$C$171,$A23)</f>
        <v>0</v>
      </c>
      <c r="C23" s="37" t="n">
        <f aca="false">B23*PARAMETROS!$B$7</f>
        <v>0</v>
      </c>
      <c r="D23" s="19" t="n">
        <f aca="false">IFERROR(SUMIFS(DIARIO!$D$2:$D$171,DIARIO!$B$2:$B$171,"MOVIL",DIARIO!$C$2:$C$171,$A23)/B23,0)</f>
        <v>0</v>
      </c>
      <c r="E23" s="37" t="n">
        <f aca="false">SUMIFS(DIARIO!$G$2:$G$171,DIARIO!$B$2:$B$171,"MOVIL",DIARIO!$C$2:$C$171,$A23)</f>
        <v>0</v>
      </c>
      <c r="F23" s="37" t="n">
        <f aca="false">E23*PARAMETROS!$B$7</f>
        <v>0</v>
      </c>
      <c r="G23" s="19" t="n">
        <f aca="false">IFERROR(SUMIFS(DIARIO!$D$2:$D$171,DIARIO!$B$2:$B$171,"MOVIL",DIARIO!$C$2:$C$171,$A23)/E23,0)</f>
        <v>0</v>
      </c>
      <c r="H23" s="37" t="n">
        <f aca="false">SUMIFS(DIARIO!$H$2:$H$171,DIARIO!$B$2:$B$171,"MOVIL",DIARIO!$C$2:$C$171,$A23)</f>
        <v>0</v>
      </c>
      <c r="I23" s="37" t="n">
        <f aca="false">H23*PARAMETROS!$B$7</f>
        <v>0</v>
      </c>
      <c r="J23" s="19" t="n">
        <f aca="false">IFERROR(SUMIFS(DIARIO!$D$2:$D$171,DIARIO!$B$2:$B$171,"MOVIL",DIARIO!$C$2:$C$171,$A23)/H23,0)</f>
        <v>0</v>
      </c>
    </row>
    <row r="24" customFormat="false" ht="15" hidden="false" customHeight="false" outlineLevel="0" collapsed="false">
      <c r="A24" s="35" t="s">
        <v>22</v>
      </c>
      <c r="B24" s="37" t="n">
        <f aca="false">SUMIFS(DIARIO!$F$2:$F$171,DIARIO!$B$2:$B$171,"MOVIL",DIARIO!$C$2:$C$171,$A24)</f>
        <v>671</v>
      </c>
      <c r="C24" s="37" t="n">
        <f aca="false">B24*PARAMETROS!$B$7</f>
        <v>2516.25</v>
      </c>
      <c r="D24" s="19" t="n">
        <f aca="false">IFERROR(SUMIFS(DIARIO!$D$2:$D$171,DIARIO!$B$2:$B$171,"MOVIL",DIARIO!$C$2:$C$171,$A24)/B24,0)</f>
        <v>9323.57357168405</v>
      </c>
      <c r="E24" s="37" t="n">
        <f aca="false">SUMIFS(DIARIO!$G$2:$G$171,DIARIO!$B$2:$B$171,"MOVIL",DIARIO!$C$2:$C$171,$A24)</f>
        <v>132</v>
      </c>
      <c r="F24" s="37" t="n">
        <f aca="false">E24*PARAMETROS!$B$7</f>
        <v>495</v>
      </c>
      <c r="G24" s="19" t="n">
        <f aca="false">IFERROR(SUMIFS(DIARIO!$D$2:$D$171,DIARIO!$B$2:$B$171,"MOVIL",DIARIO!$C$2:$C$171,$A24)/E24,0)</f>
        <v>47394.8323227273</v>
      </c>
      <c r="H24" s="37" t="n">
        <f aca="false">SUMIFS(DIARIO!$H$2:$H$171,DIARIO!$B$2:$B$171,"MOVIL",DIARIO!$C$2:$C$171,$A24)</f>
        <v>92</v>
      </c>
      <c r="I24" s="37" t="n">
        <f aca="false">H24*PARAMETROS!$B$7</f>
        <v>345</v>
      </c>
      <c r="J24" s="19" t="n">
        <f aca="false">IFERROR(SUMIFS(DIARIO!$D$2:$D$171,DIARIO!$B$2:$B$171,"MOVIL",DIARIO!$C$2:$C$171,$A24)/H24,0)</f>
        <v>68001.2811586957</v>
      </c>
    </row>
    <row r="25" customFormat="false" ht="15" hidden="false" customHeight="false" outlineLevel="0" collapsed="false">
      <c r="A25" s="35" t="s">
        <v>55</v>
      </c>
      <c r="B25" s="37" t="n">
        <f aca="false">SUMIFS(DIARIO!$F$2:$F$171,DIARIO!$B$2:$B$171,"MOVIL",DIARIO!$C$2:$C$171,$A25)</f>
        <v>145</v>
      </c>
      <c r="C25" s="37" t="n">
        <f aca="false">B25*PARAMETROS!$B$7</f>
        <v>543.75</v>
      </c>
      <c r="D25" s="19" t="n">
        <f aca="false">IFERROR(SUMIFS(DIARIO!$D$2:$D$171,DIARIO!$B$2:$B$171,"MOVIL",DIARIO!$C$2:$C$171,$A25)/B25,0)</f>
        <v>31411.224</v>
      </c>
      <c r="E25" s="37" t="n">
        <f aca="false">SUMIFS(DIARIO!$G$2:$G$171,DIARIO!$B$2:$B$171,"MOVIL",DIARIO!$C$2:$C$171,$A25)</f>
        <v>64</v>
      </c>
      <c r="F25" s="37" t="n">
        <f aca="false">E25*PARAMETROS!$B$7</f>
        <v>240</v>
      </c>
      <c r="G25" s="19" t="n">
        <f aca="false">IFERROR(SUMIFS(DIARIO!$D$2:$D$171,DIARIO!$B$2:$B$171,"MOVIL",DIARIO!$C$2:$C$171,$A25)/E25,0)</f>
        <v>71166.054375</v>
      </c>
      <c r="H25" s="37" t="n">
        <f aca="false">SUMIFS(DIARIO!$H$2:$H$171,DIARIO!$B$2:$B$171,"MOVIL",DIARIO!$C$2:$C$171,$A25)</f>
        <v>53</v>
      </c>
      <c r="I25" s="37" t="n">
        <f aca="false">H25*PARAMETROS!$B$7</f>
        <v>198.75</v>
      </c>
      <c r="J25" s="19" t="n">
        <f aca="false">IFERROR(SUMIFS(DIARIO!$D$2:$D$171,DIARIO!$B$2:$B$171,"MOVIL",DIARIO!$C$2:$C$171,$A25)/H25,0)</f>
        <v>85936.3675471698</v>
      </c>
    </row>
    <row r="26" customFormat="false" ht="15" hidden="false" customHeight="false" outlineLevel="0" collapsed="false">
      <c r="A26" s="35" t="s">
        <v>56</v>
      </c>
      <c r="B26" s="37" t="n">
        <f aca="false">SUMIFS(DIARIO!$F$2:$F$171,DIARIO!$B$2:$B$171,"MOVIL",DIARIO!$C$2:$C$171,$A26)</f>
        <v>198.5</v>
      </c>
      <c r="C26" s="37" t="n">
        <f aca="false">B26*PARAMETROS!$B$7</f>
        <v>744.375</v>
      </c>
      <c r="D26" s="19" t="n">
        <f aca="false">IFERROR(SUMIFS(DIARIO!$D$2:$D$171,DIARIO!$B$2:$B$171,"MOVIL",DIARIO!$C$2:$C$171,$A26)/B26,0)</f>
        <v>25412.1872040302</v>
      </c>
      <c r="E26" s="37" t="n">
        <f aca="false">SUMIFS(DIARIO!$G$2:$G$171,DIARIO!$B$2:$B$171,"MOVIL",DIARIO!$C$2:$C$171,$A26)</f>
        <v>71</v>
      </c>
      <c r="F26" s="37" t="n">
        <f aca="false">E26*PARAMETROS!$B$7</f>
        <v>266.25</v>
      </c>
      <c r="G26" s="19" t="n">
        <f aca="false">IFERROR(SUMIFS(DIARIO!$D$2:$D$171,DIARIO!$B$2:$B$171,"MOVIL",DIARIO!$C$2:$C$171,$A26)/E26,0)</f>
        <v>71046.7487323944</v>
      </c>
      <c r="H26" s="37" t="n">
        <f aca="false">SUMIFS(DIARIO!$H$2:$H$171,DIARIO!$B$2:$B$171,"MOVIL",DIARIO!$C$2:$C$171,$A26)</f>
        <v>48</v>
      </c>
      <c r="I26" s="37" t="n">
        <f aca="false">H26*PARAMETROS!$B$7</f>
        <v>180</v>
      </c>
      <c r="J26" s="19" t="n">
        <f aca="false">IFERROR(SUMIFS(DIARIO!$D$2:$D$171,DIARIO!$B$2:$B$171,"MOVIL",DIARIO!$C$2:$C$171,$A26)/H26,0)</f>
        <v>105089.9825</v>
      </c>
    </row>
    <row r="27" customFormat="false" ht="15" hidden="false" customHeight="false" outlineLevel="0" collapsed="false">
      <c r="A27" s="35" t="s">
        <v>57</v>
      </c>
      <c r="B27" s="37" t="n">
        <f aca="false">SUMIFS(DIARIO!$F$2:$F$171,DIARIO!$B$2:$B$171,"MOVIL",DIARIO!$C$2:$C$171,$A27)</f>
        <v>1968</v>
      </c>
      <c r="C27" s="37" t="n">
        <f aca="false">B27*PARAMETROS!$B$7</f>
        <v>7380</v>
      </c>
      <c r="D27" s="19" t="n">
        <f aca="false">IFERROR(SUMIFS(DIARIO!$D$2:$D$171,DIARIO!$B$2:$B$171,"MOVIL",DIARIO!$C$2:$C$171,$A27)/B27,0)</f>
        <v>37462.0467784553</v>
      </c>
      <c r="E27" s="37" t="n">
        <f aca="false">SUMIFS(DIARIO!$G$2:$G$171,DIARIO!$B$2:$B$171,"MOVIL",DIARIO!$C$2:$C$171,$A27)</f>
        <v>875</v>
      </c>
      <c r="F27" s="37" t="n">
        <f aca="false">E27*PARAMETROS!$B$7</f>
        <v>3281.25</v>
      </c>
      <c r="G27" s="19" t="n">
        <f aca="false">IFERROR(SUMIFS(DIARIO!$D$2:$D$171,DIARIO!$B$2:$B$171,"MOVIL",DIARIO!$C$2:$C$171,$A27)/E27,0)</f>
        <v>84257.4949257143</v>
      </c>
      <c r="H27" s="37" t="n">
        <f aca="false">SUMIFS(DIARIO!$H$2:$H$171,DIARIO!$B$2:$B$171,"MOVIL",DIARIO!$C$2:$C$171,$A27)</f>
        <v>796</v>
      </c>
      <c r="I27" s="37" t="n">
        <f aca="false">H27*PARAMETROS!$B$7</f>
        <v>2985</v>
      </c>
      <c r="J27" s="19" t="n">
        <f aca="false">IFERROR(SUMIFS(DIARIO!$D$2:$D$171,DIARIO!$B$2:$B$171,"MOVIL",DIARIO!$C$2:$C$171,$A27)/H27,0)</f>
        <v>92619.7337437186</v>
      </c>
    </row>
    <row r="28" customFormat="false" ht="15" hidden="false" customHeight="false" outlineLevel="0" collapsed="false">
      <c r="A28" s="35" t="s">
        <v>58</v>
      </c>
      <c r="B28" s="37" t="n">
        <f aca="false">SUMIFS(DIARIO!$F$2:$F$171,DIARIO!$B$2:$B$171,"MOVIL",DIARIO!$C$2:$C$171,$A28)</f>
        <v>840</v>
      </c>
      <c r="C28" s="37" t="n">
        <f aca="false">B28*PARAMETROS!$B$7</f>
        <v>3150</v>
      </c>
      <c r="D28" s="19" t="n">
        <f aca="false">IFERROR(SUMIFS(DIARIO!$D$2:$D$171,DIARIO!$B$2:$B$171,"MOVIL",DIARIO!$C$2:$C$171,$A28)/B28,0)</f>
        <v>11690.0370892857</v>
      </c>
      <c r="E28" s="37" t="n">
        <f aca="false">SUMIFS(DIARIO!$G$2:$G$171,DIARIO!$B$2:$B$171,"MOVIL",DIARIO!$C$2:$C$171,$A28)</f>
        <v>392.5</v>
      </c>
      <c r="F28" s="37" t="n">
        <f aca="false">E28*PARAMETROS!$B$7</f>
        <v>1471.875</v>
      </c>
      <c r="G28" s="19" t="n">
        <f aca="false">IFERROR(SUMIFS(DIARIO!$D$2:$D$171,DIARIO!$B$2:$B$171,"MOVIL",DIARIO!$C$2:$C$171,$A28)/E28,0)</f>
        <v>25018.1685477707</v>
      </c>
      <c r="H28" s="37" t="n">
        <f aca="false">SUMIFS(DIARIO!$H$2:$H$171,DIARIO!$B$2:$B$171,"MOVIL",DIARIO!$C$2:$C$171,$A28)</f>
        <v>349</v>
      </c>
      <c r="I28" s="37" t="n">
        <f aca="false">H28*PARAMETROS!$B$7</f>
        <v>1308.75</v>
      </c>
      <c r="J28" s="19" t="n">
        <f aca="false">IFERROR(SUMIFS(DIARIO!$D$2:$D$171,DIARIO!$B$2:$B$171,"MOVIL",DIARIO!$C$2:$C$171,$A28)/H28,0)</f>
        <v>28136.4789541547</v>
      </c>
    </row>
    <row r="29" customFormat="false" ht="15" hidden="false" customHeight="false" outlineLevel="0" collapsed="false">
      <c r="A29" s="35" t="s">
        <v>59</v>
      </c>
      <c r="B29" s="37" t="n">
        <f aca="false">SUMIFS(DIARIO!$F$2:$F$171,DIARIO!$B$2:$B$171,"MOVIL",DIARIO!$C$2:$C$171,$A29)</f>
        <v>48</v>
      </c>
      <c r="C29" s="37" t="n">
        <f aca="false">B29*PARAMETROS!$B$7</f>
        <v>180</v>
      </c>
      <c r="D29" s="19" t="n">
        <f aca="false">IFERROR(SUMIFS(DIARIO!$D$2:$D$171,DIARIO!$B$2:$B$171,"MOVIL",DIARIO!$C$2:$C$171,$A29)/B29,0)</f>
        <v>0</v>
      </c>
      <c r="E29" s="37" t="n">
        <f aca="false">SUMIFS(DIARIO!$G$2:$G$171,DIARIO!$B$2:$B$171,"MOVIL",DIARIO!$C$2:$C$171,$A29)</f>
        <v>3</v>
      </c>
      <c r="F29" s="37" t="n">
        <f aca="false">E29*PARAMETROS!$B$7</f>
        <v>11.25</v>
      </c>
      <c r="G29" s="19" t="n">
        <f aca="false">IFERROR(SUMIFS(DIARIO!$D$2:$D$171,DIARIO!$B$2:$B$171,"MOVIL",DIARIO!$C$2:$C$171,$A29)/E29,0)</f>
        <v>0</v>
      </c>
      <c r="H29" s="37" t="n">
        <f aca="false">SUMIFS(DIARIO!$H$2:$H$171,DIARIO!$B$2:$B$171,"MOVIL",DIARIO!$C$2:$C$171,$A29)</f>
        <v>2</v>
      </c>
      <c r="I29" s="37" t="n">
        <f aca="false">H29*PARAMETROS!$B$7</f>
        <v>7.5</v>
      </c>
      <c r="J29" s="19" t="n">
        <f aca="false">IFERROR(SUMIFS(DIARIO!$D$2:$D$171,DIARIO!$B$2:$B$171,"MOVIL",DIARIO!$C$2:$C$171,$A29)/H29,0)</f>
        <v>0</v>
      </c>
    </row>
    <row r="30" customFormat="false" ht="15" hidden="false" customHeight="false" outlineLevel="0" collapsed="false">
      <c r="A30" s="22" t="s">
        <v>60</v>
      </c>
      <c r="B30" s="38" t="n">
        <f aca="false">SUM(B20:B29)</f>
        <v>4420.5</v>
      </c>
      <c r="C30" s="38" t="n">
        <f aca="false">SUM(C20:C29)</f>
        <v>16576.875</v>
      </c>
      <c r="D30" s="23" t="n">
        <f aca="false">IFERROR(SUMIFS(DIARIO!$D$2:$D$171,DIARIO!$B$2:$B$171,"MOVIL")/B30,0)</f>
        <v>22638.09070975</v>
      </c>
      <c r="E30" s="38" t="n">
        <f aca="false">SUM(E20:E29)</f>
        <v>1839</v>
      </c>
      <c r="F30" s="38" t="n">
        <f aca="false">SUM(F20:F29)</f>
        <v>6896.25</v>
      </c>
      <c r="G30" s="23" t="n">
        <f aca="false">IFERROR(SUMIFS(DIARIO!$D$2:$D$171,DIARIO!$B$2:$B$171,"MOVIL")/E30,0)</f>
        <v>54416.3567060631</v>
      </c>
      <c r="H30" s="38" t="n">
        <f aca="false">SUM(H20:H29)</f>
        <v>1584</v>
      </c>
      <c r="I30" s="38" t="n">
        <f aca="false">SUM(I20:I29)</f>
        <v>5940</v>
      </c>
      <c r="J30" s="23" t="n">
        <f aca="false">IFERROR(SUMIFS(DIARIO!$D$2:$D$171,DIARIO!$B$2:$B$171,"MOVIL")/H30,0)</f>
        <v>63176.5656454861</v>
      </c>
    </row>
    <row r="32" customFormat="false" ht="15" hidden="false" customHeight="false" outlineLevel="0" collapsed="false">
      <c r="A32" s="39" t="s">
        <v>69</v>
      </c>
      <c r="B32" s="39"/>
      <c r="C32" s="39"/>
      <c r="D32" s="39"/>
      <c r="E32" s="39"/>
      <c r="F32" s="39"/>
      <c r="H32" s="39" t="s">
        <v>70</v>
      </c>
      <c r="I32" s="39"/>
      <c r="J32" s="39"/>
      <c r="K32" s="39"/>
      <c r="L32" s="39"/>
      <c r="M32" s="39"/>
      <c r="O32" s="39" t="s">
        <v>71</v>
      </c>
      <c r="P32" s="39"/>
      <c r="Q32" s="39"/>
      <c r="R32" s="39"/>
    </row>
    <row r="33" customFormat="false" ht="15" hidden="false" customHeight="false" outlineLevel="0" collapsed="false">
      <c r="A33" s="34" t="s">
        <v>41</v>
      </c>
      <c r="B33" s="34" t="s">
        <v>42</v>
      </c>
      <c r="C33" s="34" t="s">
        <v>43</v>
      </c>
      <c r="D33" s="34" t="s">
        <v>44</v>
      </c>
      <c r="E33" s="34" t="s">
        <v>45</v>
      </c>
      <c r="F33" s="34" t="s">
        <v>46</v>
      </c>
      <c r="H33" s="34" t="s">
        <v>41</v>
      </c>
      <c r="I33" s="34" t="s">
        <v>47</v>
      </c>
      <c r="J33" s="34" t="s">
        <v>43</v>
      </c>
      <c r="K33" s="34" t="s">
        <v>48</v>
      </c>
      <c r="L33" s="34" t="s">
        <v>45</v>
      </c>
      <c r="M33" s="34" t="s">
        <v>49</v>
      </c>
      <c r="O33" s="34" t="s">
        <v>41</v>
      </c>
      <c r="P33" s="34" t="s">
        <v>8</v>
      </c>
      <c r="Q33" s="34" t="s">
        <v>31</v>
      </c>
      <c r="R33" s="34" t="s">
        <v>50</v>
      </c>
    </row>
    <row r="34" customFormat="false" ht="15" hidden="false" customHeight="false" outlineLevel="0" collapsed="false">
      <c r="A34" s="35" t="s">
        <v>72</v>
      </c>
      <c r="B34" s="19" t="n">
        <f aca="false">SUMIFS(METAS_DIA!$D$2:$D$541,METAS_DIA!$B$2:$B$541,"FIJO",METAS_DIA!$C$2:$C$541,$A34)</f>
        <v>0</v>
      </c>
      <c r="C34" s="19" t="n">
        <f aca="false">SUMIFS(METAS_DIA!$D$2:$D$541,METAS_DIA!$B$2:$B$541,"FIJO",METAS_DIA!$C$2:$C$541,$A34,METAS_DIA!$A$2:$A$541,"&lt;="&amp;PARAMETROS!$B$9)</f>
        <v>0</v>
      </c>
      <c r="D34" s="19" t="n">
        <f aca="false">SUMIFS(DIARIO!$D$2:$D$171,DIARIO!$B$2:$B$171,"FIJO",DIARIO!$C$2:$C$171,$A34)</f>
        <v>0</v>
      </c>
      <c r="E34" s="20" t="n">
        <f aca="false">IFERROR(D34/C34,0)</f>
        <v>0</v>
      </c>
      <c r="F34" s="19" t="n">
        <f aca="false">D34*PARAMETROS!$B$7</f>
        <v>0</v>
      </c>
      <c r="H34" s="35" t="s">
        <v>72</v>
      </c>
      <c r="I34" s="21" t="n">
        <f aca="false">SUMIFS(METAS_DIA!$E$2:$E$541,METAS_DIA!$B$2:$B$541,"FIJO",METAS_DIA!$C$2:$C$541,$H34)</f>
        <v>0</v>
      </c>
      <c r="J34" s="21" t="n">
        <f aca="false">SUMIFS(METAS_DIA!$E$2:$E$541,METAS_DIA!$B$2:$B$541,"FIJO",METAS_DIA!$C$2:$C$541,$H34,METAS_DIA!$A$2:$A$541,"&lt;="&amp;PARAMETROS!$B$9)</f>
        <v>0</v>
      </c>
      <c r="K34" s="21" t="n">
        <f aca="false">SUMIFS(DIARIO!$E$2:$E$171,DIARIO!$B$2:$B$171,"FIJO",DIARIO!$C$2:$C$171,$H34)</f>
        <v>0</v>
      </c>
      <c r="L34" s="20" t="n">
        <f aca="false">IFERROR(K34/J34,0)</f>
        <v>0</v>
      </c>
      <c r="M34" s="21" t="n">
        <f aca="false">K34*PARAMETROS!$B$7</f>
        <v>0</v>
      </c>
      <c r="O34" s="35" t="s">
        <v>72</v>
      </c>
      <c r="P34" s="19" t="n">
        <f aca="false">IFERROR(B34/I34,0)</f>
        <v>0</v>
      </c>
      <c r="Q34" s="19" t="n">
        <f aca="false">IFERROR(D34/K34,0)</f>
        <v>0</v>
      </c>
      <c r="R34" s="20" t="n">
        <f aca="false">IFERROR(Q34/P34,0)</f>
        <v>0</v>
      </c>
    </row>
    <row r="35" customFormat="false" ht="15" hidden="false" customHeight="false" outlineLevel="0" collapsed="false">
      <c r="A35" s="35" t="s">
        <v>51</v>
      </c>
      <c r="B35" s="19" t="n">
        <f aca="false">SUMIFS(METAS_DIA!$D$2:$D$541,METAS_DIA!$B$2:$B$541,"FIJO",METAS_DIA!$C$2:$C$541,$A35)</f>
        <v>0</v>
      </c>
      <c r="C35" s="19" t="n">
        <f aca="false">SUMIFS(METAS_DIA!$D$2:$D$541,METAS_DIA!$B$2:$B$541,"FIJO",METAS_DIA!$C$2:$C$541,$A35,METAS_DIA!$A$2:$A$541,"&lt;="&amp;PARAMETROS!$B$9)</f>
        <v>0</v>
      </c>
      <c r="D35" s="19" t="n">
        <f aca="false">SUMIFS(DIARIO!$D$2:$D$171,DIARIO!$B$2:$B$171,"FIJO",DIARIO!$C$2:$C$171,$A35)</f>
        <v>0</v>
      </c>
      <c r="E35" s="20" t="n">
        <f aca="false">IFERROR(D35/C35,0)</f>
        <v>0</v>
      </c>
      <c r="F35" s="19" t="n">
        <f aca="false">D35*PARAMETROS!$B$7</f>
        <v>0</v>
      </c>
      <c r="H35" s="35" t="s">
        <v>51</v>
      </c>
      <c r="I35" s="21" t="n">
        <f aca="false">SUMIFS(METAS_DIA!$E$2:$E$541,METAS_DIA!$B$2:$B$541,"FIJO",METAS_DIA!$C$2:$C$541,$H35)</f>
        <v>0</v>
      </c>
      <c r="J35" s="21" t="n">
        <f aca="false">SUMIFS(METAS_DIA!$E$2:$E$541,METAS_DIA!$B$2:$B$541,"FIJO",METAS_DIA!$C$2:$C$541,$H35,METAS_DIA!$A$2:$A$541,"&lt;="&amp;PARAMETROS!$B$9)</f>
        <v>0</v>
      </c>
      <c r="K35" s="21" t="n">
        <f aca="false">SUMIFS(DIARIO!$E$2:$E$171,DIARIO!$B$2:$B$171,"FIJO",DIARIO!$C$2:$C$171,$H35)</f>
        <v>0</v>
      </c>
      <c r="L35" s="20" t="n">
        <f aca="false">IFERROR(K35/J35,0)</f>
        <v>0</v>
      </c>
      <c r="M35" s="21" t="n">
        <f aca="false">K35*PARAMETROS!$B$7</f>
        <v>0</v>
      </c>
      <c r="O35" s="35" t="s">
        <v>51</v>
      </c>
      <c r="P35" s="19" t="n">
        <f aca="false">IFERROR(B35/I35,0)</f>
        <v>0</v>
      </c>
      <c r="Q35" s="19" t="n">
        <f aca="false">IFERROR(D35/K35,0)</f>
        <v>0</v>
      </c>
      <c r="R35" s="20" t="n">
        <f aca="false">IFERROR(Q35/P35,0)</f>
        <v>0</v>
      </c>
    </row>
    <row r="36" customFormat="false" ht="15" hidden="false" customHeight="false" outlineLevel="0" collapsed="false">
      <c r="A36" s="35" t="s">
        <v>52</v>
      </c>
      <c r="B36" s="19" t="n">
        <f aca="false">SUMIFS(METAS_DIA!$D$2:$D$541,METAS_DIA!$B$2:$B$541,"FIJO",METAS_DIA!$C$2:$C$541,$A36)</f>
        <v>6999999.9998</v>
      </c>
      <c r="C36" s="19" t="n">
        <f aca="false">SUMIFS(METAS_DIA!$D$2:$D$541,METAS_DIA!$B$2:$B$541,"FIJO",METAS_DIA!$C$2:$C$541,$A36,METAS_DIA!$A$2:$A$541,"&lt;="&amp;PARAMETROS!$B$9)</f>
        <v>2092159.0314</v>
      </c>
      <c r="D36" s="19" t="n">
        <f aca="false">SUMIFS(DIARIO!$D$2:$D$171,DIARIO!$B$2:$B$171,"FIJO",DIARIO!$C$2:$C$171,$A36)</f>
        <v>1486993.7187</v>
      </c>
      <c r="E36" s="20" t="n">
        <f aca="false">IFERROR(D36/C36,0)</f>
        <v>0.710746026655993</v>
      </c>
      <c r="F36" s="19" t="n">
        <f aca="false">D36*PARAMETROS!$B$7</f>
        <v>5576226.445125</v>
      </c>
      <c r="H36" s="35" t="s">
        <v>52</v>
      </c>
      <c r="I36" s="21" t="n">
        <f aca="false">SUMIFS(METAS_DIA!$E$2:$E$541,METAS_DIA!$B$2:$B$541,"FIJO",METAS_DIA!$C$2:$C$541,$H36)</f>
        <v>875</v>
      </c>
      <c r="J36" s="21" t="n">
        <f aca="false">SUMIFS(METAS_DIA!$E$2:$E$541,METAS_DIA!$B$2:$B$541,"FIJO",METAS_DIA!$C$2:$C$541,$H36,METAS_DIA!$A$2:$A$541,"&lt;="&amp;PARAMETROS!$B$9)</f>
        <v>261.51987891</v>
      </c>
      <c r="K36" s="21" t="n">
        <f aca="false">SUMIFS(DIARIO!$E$2:$E$171,DIARIO!$B$2:$B$171,"FIJO",DIARIO!$C$2:$C$171,$H36)</f>
        <v>197</v>
      </c>
      <c r="L36" s="20" t="n">
        <f aca="false">IFERROR(K36/J36,0)</f>
        <v>0.753288816211926</v>
      </c>
      <c r="M36" s="21" t="n">
        <f aca="false">K36*PARAMETROS!$B$7</f>
        <v>738.75</v>
      </c>
      <c r="O36" s="35" t="s">
        <v>52</v>
      </c>
      <c r="P36" s="19" t="n">
        <f aca="false">IFERROR(B36/I36,0)</f>
        <v>7999.99999977143</v>
      </c>
      <c r="Q36" s="19" t="n">
        <f aca="false">IFERROR(D36/K36,0)</f>
        <v>7548.19146548223</v>
      </c>
      <c r="R36" s="20" t="n">
        <f aca="false">IFERROR(Q36/P36,0)</f>
        <v>0.943523933212237</v>
      </c>
    </row>
    <row r="37" customFormat="false" ht="15" hidden="false" customHeight="false" outlineLevel="0" collapsed="false">
      <c r="A37" s="35" t="s">
        <v>53</v>
      </c>
      <c r="B37" s="19" t="n">
        <f aca="false">SUMIFS(METAS_DIA!$D$2:$D$541,METAS_DIA!$B$2:$B$541,"FIJO",METAS_DIA!$C$2:$C$541,$A37)</f>
        <v>999999.99998</v>
      </c>
      <c r="C37" s="19" t="n">
        <f aca="false">SUMIFS(METAS_DIA!$D$2:$D$541,METAS_DIA!$B$2:$B$541,"FIJO",METAS_DIA!$C$2:$C$541,$A37,METAS_DIA!$A$2:$A$541,"&lt;="&amp;PARAMETROS!$B$9)</f>
        <v>296000.08729</v>
      </c>
      <c r="D37" s="19" t="n">
        <f aca="false">SUMIFS(DIARIO!$D$2:$D$171,DIARIO!$B$2:$B$171,"FIJO",DIARIO!$C$2:$C$171,$A37)</f>
        <v>295353.34605</v>
      </c>
      <c r="E37" s="20" t="n">
        <f aca="false">IFERROR(D37/C37,0)</f>
        <v>0.997815064022713</v>
      </c>
      <c r="F37" s="19" t="n">
        <f aca="false">D37*PARAMETROS!$B$7</f>
        <v>1107575.0476875</v>
      </c>
      <c r="H37" s="35" t="s">
        <v>53</v>
      </c>
      <c r="I37" s="21" t="n">
        <f aca="false">SUMIFS(METAS_DIA!$E$2:$E$541,METAS_DIA!$B$2:$B$541,"FIJO",METAS_DIA!$C$2:$C$541,$H37)</f>
        <v>83.333333333</v>
      </c>
      <c r="J37" s="21" t="n">
        <f aca="false">SUMIFS(METAS_DIA!$E$2:$E$541,METAS_DIA!$B$2:$B$541,"FIJO",METAS_DIA!$C$2:$C$541,$H37,METAS_DIA!$A$2:$A$541,"&lt;="&amp;PARAMETROS!$B$9)</f>
        <v>24.666673942</v>
      </c>
      <c r="K37" s="21" t="n">
        <f aca="false">SUMIFS(DIARIO!$E$2:$E$171,DIARIO!$B$2:$B$171,"FIJO",DIARIO!$C$2:$C$171,$H37)</f>
        <v>147.5</v>
      </c>
      <c r="L37" s="20" t="n">
        <f aca="false">IFERROR(K37/J37,0)</f>
        <v>5.97972796603321</v>
      </c>
      <c r="M37" s="21" t="n">
        <f aca="false">K37*PARAMETROS!$B$7</f>
        <v>553.125</v>
      </c>
      <c r="O37" s="35" t="s">
        <v>53</v>
      </c>
      <c r="P37" s="19" t="n">
        <f aca="false">IFERROR(B37/I37,0)</f>
        <v>11999.999999808</v>
      </c>
      <c r="Q37" s="19" t="n">
        <f aca="false">IFERROR(D37/K37,0)</f>
        <v>2002.39556644068</v>
      </c>
      <c r="R37" s="20" t="n">
        <f aca="false">IFERROR(Q37/P37,0)</f>
        <v>0.16686629720606</v>
      </c>
    </row>
    <row r="38" customFormat="false" ht="15" hidden="false" customHeight="false" outlineLevel="0" collapsed="false">
      <c r="A38" s="35" t="s">
        <v>22</v>
      </c>
      <c r="B38" s="19" t="n">
        <f aca="false">SUMIFS(METAS_DIA!$D$2:$D$541,METAS_DIA!$B$2:$B$541,"FIJO",METAS_DIA!$C$2:$C$541,$A38)</f>
        <v>17320000.0001</v>
      </c>
      <c r="C38" s="19" t="n">
        <f aca="false">SUMIFS(METAS_DIA!$D$2:$D$541,METAS_DIA!$B$2:$B$541,"FIJO",METAS_DIA!$C$2:$C$541,$A38,METAS_DIA!$A$2:$A$541,"&lt;="&amp;PARAMETROS!$B$9)</f>
        <v>5176599.2032</v>
      </c>
      <c r="D38" s="19" t="n">
        <f aca="false">SUMIFS(DIARIO!$D$2:$D$171,DIARIO!$B$2:$B$171,"FIJO",DIARIO!$C$2:$C$171,$A38)</f>
        <v>6193479.3354</v>
      </c>
      <c r="E38" s="20" t="n">
        <f aca="false">IFERROR(D38/C38,0)</f>
        <v>1.19643787210171</v>
      </c>
      <c r="F38" s="19" t="n">
        <f aca="false">D38*PARAMETROS!$B$7</f>
        <v>23225547.50775</v>
      </c>
      <c r="H38" s="35" t="s">
        <v>22</v>
      </c>
      <c r="I38" s="21" t="n">
        <f aca="false">SUMIFS(METAS_DIA!$E$2:$E$541,METAS_DIA!$B$2:$B$541,"FIJO",METAS_DIA!$C$2:$C$541,$H38)</f>
        <v>1823.15789472</v>
      </c>
      <c r="J38" s="21" t="n">
        <f aca="false">SUMIFS(METAS_DIA!$E$2:$E$541,METAS_DIA!$B$2:$B$541,"FIJO",METAS_DIA!$C$2:$C$541,$H38,METAS_DIA!$A$2:$A$541,"&lt;="&amp;PARAMETROS!$B$9)</f>
        <v>544.90517927</v>
      </c>
      <c r="K38" s="21" t="n">
        <f aca="false">SUMIFS(DIARIO!$E$2:$E$171,DIARIO!$B$2:$B$171,"FIJO",DIARIO!$C$2:$C$171,$H38)</f>
        <v>730</v>
      </c>
      <c r="L38" s="20" t="n">
        <f aca="false">IFERROR(K38/J38,0)</f>
        <v>1.33968262327396</v>
      </c>
      <c r="M38" s="21" t="n">
        <f aca="false">K38*PARAMETROS!$B$7</f>
        <v>2737.5</v>
      </c>
      <c r="O38" s="35" t="s">
        <v>22</v>
      </c>
      <c r="P38" s="19" t="n">
        <f aca="false">IFERROR(B38/I38,0)</f>
        <v>9500.00000014261</v>
      </c>
      <c r="Q38" s="19" t="n">
        <f aca="false">IFERROR(D38/K38,0)</f>
        <v>8484.21826767123</v>
      </c>
      <c r="R38" s="20" t="n">
        <f aca="false">IFERROR(Q38/P38,0)</f>
        <v>0.893075607109881</v>
      </c>
    </row>
    <row r="39" customFormat="false" ht="15" hidden="false" customHeight="false" outlineLevel="0" collapsed="false">
      <c r="A39" s="35" t="s">
        <v>55</v>
      </c>
      <c r="B39" s="19" t="n">
        <f aca="false">SUMIFS(METAS_DIA!$D$2:$D$541,METAS_DIA!$B$2:$B$541,"FIJO",METAS_DIA!$C$2:$C$541,$A39)</f>
        <v>40000000.0016</v>
      </c>
      <c r="C39" s="19" t="n">
        <f aca="false">SUMIFS(METAS_DIA!$D$2:$D$541,METAS_DIA!$B$2:$B$541,"FIJO",METAS_DIA!$C$2:$C$541,$A39,METAS_DIA!$A$2:$A$541,"&lt;="&amp;PARAMETROS!$B$9)</f>
        <v>11955194.4652</v>
      </c>
      <c r="D39" s="19" t="n">
        <f aca="false">SUMIFS(DIARIO!$D$2:$D$171,DIARIO!$B$2:$B$171,"FIJO",DIARIO!$C$2:$C$171,$A39)</f>
        <v>12303805.01</v>
      </c>
      <c r="E39" s="20" t="n">
        <f aca="false">IFERROR(D39/C39,0)</f>
        <v>1.02915975526912</v>
      </c>
      <c r="F39" s="19" t="n">
        <f aca="false">D39*PARAMETROS!$B$7</f>
        <v>46139268.7875</v>
      </c>
      <c r="H39" s="35" t="s">
        <v>55</v>
      </c>
      <c r="I39" s="21" t="n">
        <f aca="false">SUMIFS(METAS_DIA!$E$2:$E$541,METAS_DIA!$B$2:$B$541,"FIJO",METAS_DIA!$C$2:$C$541,$H39)</f>
        <v>2666.66666653</v>
      </c>
      <c r="J39" s="21" t="n">
        <f aca="false">SUMIFS(METAS_DIA!$E$2:$E$541,METAS_DIA!$B$2:$B$541,"FIJO",METAS_DIA!$C$2:$C$541,$H39,METAS_DIA!$A$2:$A$541,"&lt;="&amp;PARAMETROS!$B$9)</f>
        <v>797.01296418</v>
      </c>
      <c r="K39" s="21" t="n">
        <f aca="false">SUMIFS(DIARIO!$E$2:$E$171,DIARIO!$B$2:$B$171,"FIJO",DIARIO!$C$2:$C$171,$H39)</f>
        <v>431</v>
      </c>
      <c r="L39" s="20" t="n">
        <f aca="false">IFERROR(K39/J39,0)</f>
        <v>0.540769120918166</v>
      </c>
      <c r="M39" s="21" t="n">
        <f aca="false">K39*PARAMETROS!$B$7</f>
        <v>1616.25</v>
      </c>
      <c r="O39" s="35" t="s">
        <v>55</v>
      </c>
      <c r="P39" s="19" t="n">
        <f aca="false">IFERROR(B39/I39,0)</f>
        <v>15000.0000013688</v>
      </c>
      <c r="Q39" s="19" t="n">
        <f aca="false">IFERROR(D39/K39,0)</f>
        <v>28547.1113921114</v>
      </c>
      <c r="R39" s="20" t="n">
        <f aca="false">IFERROR(Q39/P39,0)</f>
        <v>1.90314075930043</v>
      </c>
    </row>
    <row r="40" customFormat="false" ht="15" hidden="false" customHeight="false" outlineLevel="0" collapsed="false">
      <c r="A40" s="35" t="s">
        <v>56</v>
      </c>
      <c r="B40" s="19" t="n">
        <f aca="false">SUMIFS(METAS_DIA!$D$2:$D$541,METAS_DIA!$B$2:$B$541,"FIJO",METAS_DIA!$C$2:$C$541,$A40)</f>
        <v>9000000.00005</v>
      </c>
      <c r="C40" s="19" t="n">
        <f aca="false">SUMIFS(METAS_DIA!$D$2:$D$541,METAS_DIA!$B$2:$B$541,"FIJO",METAS_DIA!$C$2:$C$541,$A40,METAS_DIA!$A$2:$A$541,"&lt;="&amp;PARAMETROS!$B$9)</f>
        <v>2664000.78585</v>
      </c>
      <c r="D40" s="19" t="n">
        <f aca="false">SUMIFS(DIARIO!$D$2:$D$171,DIARIO!$B$2:$B$171,"FIJO",DIARIO!$C$2:$C$171,$A40)</f>
        <v>5044319.16</v>
      </c>
      <c r="E40" s="20" t="n">
        <f aca="false">IFERROR(D40/C40,0)</f>
        <v>1.89351263963329</v>
      </c>
      <c r="F40" s="19" t="n">
        <f aca="false">D40*PARAMETROS!$B$7</f>
        <v>18916196.85</v>
      </c>
      <c r="H40" s="35" t="s">
        <v>56</v>
      </c>
      <c r="I40" s="21" t="n">
        <f aca="false">SUMIFS(METAS_DIA!$E$2:$E$541,METAS_DIA!$B$2:$B$541,"FIJO",METAS_DIA!$C$2:$C$541,$H40)</f>
        <v>1125.000000015</v>
      </c>
      <c r="J40" s="21" t="n">
        <f aca="false">SUMIFS(METAS_DIA!$E$2:$E$541,METAS_DIA!$B$2:$B$541,"FIJO",METAS_DIA!$C$2:$C$541,$H40,METAS_DIA!$A$2:$A$541,"&lt;="&amp;PARAMETROS!$B$9)</f>
        <v>333.000098235</v>
      </c>
      <c r="K40" s="21" t="n">
        <f aca="false">SUMIFS(DIARIO!$E$2:$E$171,DIARIO!$B$2:$B$171,"FIJO",DIARIO!$C$2:$C$171,$H40)</f>
        <v>302</v>
      </c>
      <c r="L40" s="20" t="n">
        <f aca="false">IFERROR(K40/J40,0)</f>
        <v>0.906906639369448</v>
      </c>
      <c r="M40" s="21" t="n">
        <f aca="false">K40*PARAMETROS!$B$7</f>
        <v>1132.5</v>
      </c>
      <c r="O40" s="35" t="s">
        <v>56</v>
      </c>
      <c r="P40" s="19" t="n">
        <f aca="false">IFERROR(B40/I40,0)</f>
        <v>7999.99999993778</v>
      </c>
      <c r="Q40" s="19" t="n">
        <f aca="false">IFERROR(D40/K40,0)</f>
        <v>16703.0435761589</v>
      </c>
      <c r="R40" s="20" t="n">
        <f aca="false">IFERROR(Q40/P40,0)</f>
        <v>2.08788044703611</v>
      </c>
    </row>
    <row r="41" customFormat="false" ht="15" hidden="false" customHeight="false" outlineLevel="0" collapsed="false">
      <c r="A41" s="35" t="s">
        <v>57</v>
      </c>
      <c r="B41" s="19" t="n">
        <f aca="false">SUMIFS(METAS_DIA!$D$2:$D$541,METAS_DIA!$B$2:$B$541,"FIJO",METAS_DIA!$C$2:$C$541,$A41)</f>
        <v>239999999.995</v>
      </c>
      <c r="C41" s="19" t="n">
        <f aca="false">SUMIFS(METAS_DIA!$D$2:$D$541,METAS_DIA!$B$2:$B$541,"FIJO",METAS_DIA!$C$2:$C$541,$A41,METAS_DIA!$A$2:$A$541,"&lt;="&amp;PARAMETROS!$B$9)</f>
        <v>71731166.782</v>
      </c>
      <c r="D41" s="19" t="n">
        <f aca="false">SUMIFS(DIARIO!$D$2:$D$171,DIARIO!$B$2:$B$171,"FIJO",DIARIO!$C$2:$C$171,$A41)</f>
        <v>54868487.08</v>
      </c>
      <c r="E41" s="20" t="n">
        <f aca="false">IFERROR(D41/C41,0)</f>
        <v>0.764918368702299</v>
      </c>
      <c r="F41" s="19" t="n">
        <f aca="false">D41*PARAMETROS!$B$7</f>
        <v>205756826.55</v>
      </c>
      <c r="H41" s="35" t="s">
        <v>57</v>
      </c>
      <c r="I41" s="21" t="n">
        <f aca="false">SUMIFS(METAS_DIA!$E$2:$E$541,METAS_DIA!$B$2:$B$541,"FIJO",METAS_DIA!$C$2:$C$541,$H41)</f>
        <v>12631.5789471</v>
      </c>
      <c r="J41" s="21" t="n">
        <f aca="false">SUMIFS(METAS_DIA!$E$2:$E$541,METAS_DIA!$B$2:$B$541,"FIJO",METAS_DIA!$C$2:$C$541,$H41,METAS_DIA!$A$2:$A$541,"&lt;="&amp;PARAMETROS!$B$9)</f>
        <v>3775.3245677</v>
      </c>
      <c r="K41" s="21" t="n">
        <f aca="false">SUMIFS(DIARIO!$E$2:$E$171,DIARIO!$B$2:$B$171,"FIJO",DIARIO!$C$2:$C$171,$H41)</f>
        <v>1729</v>
      </c>
      <c r="L41" s="20" t="n">
        <f aca="false">IFERROR(K41/J41,0)</f>
        <v>0.457973869264793</v>
      </c>
      <c r="M41" s="21" t="n">
        <f aca="false">K41*PARAMETROS!$B$7</f>
        <v>6483.75</v>
      </c>
      <c r="O41" s="35" t="s">
        <v>57</v>
      </c>
      <c r="P41" s="19" t="n">
        <f aca="false">IFERROR(B41/I41,0)</f>
        <v>19000.0000000079</v>
      </c>
      <c r="Q41" s="19" t="n">
        <f aca="false">IFERROR(D41/K41,0)</f>
        <v>31734.2319722383</v>
      </c>
      <c r="R41" s="20" t="n">
        <f aca="false">IFERROR(Q41/P41,0)</f>
        <v>1.67022273538027</v>
      </c>
    </row>
    <row r="42" customFormat="false" ht="15" hidden="false" customHeight="false" outlineLevel="0" collapsed="false">
      <c r="A42" s="35" t="s">
        <v>58</v>
      </c>
      <c r="B42" s="19" t="n">
        <f aca="false">SUMIFS(METAS_DIA!$D$2:$D$541,METAS_DIA!$B$2:$B$541,"FIJO",METAS_DIA!$C$2:$C$541,$A42)</f>
        <v>49999999.9995</v>
      </c>
      <c r="C42" s="19" t="n">
        <f aca="false">SUMIFS(METAS_DIA!$D$2:$D$541,METAS_DIA!$B$2:$B$541,"FIJO",METAS_DIA!$C$2:$C$541,$A42,METAS_DIA!$A$2:$A$541,"&lt;="&amp;PARAMETROS!$B$9)</f>
        <v>14800004.3655</v>
      </c>
      <c r="D42" s="19" t="n">
        <f aca="false">SUMIFS(DIARIO!$D$2:$D$171,DIARIO!$B$2:$B$171,"FIJO",DIARIO!$C$2:$C$171,$A42)</f>
        <v>9819631.155</v>
      </c>
      <c r="E42" s="20" t="n">
        <f aca="false">IFERROR(D42/C42,0)</f>
        <v>0.663488395847392</v>
      </c>
      <c r="F42" s="19" t="n">
        <f aca="false">D42*PARAMETROS!$B$7</f>
        <v>36823616.83125</v>
      </c>
      <c r="H42" s="35" t="s">
        <v>58</v>
      </c>
      <c r="I42" s="21" t="n">
        <f aca="false">SUMIFS(METAS_DIA!$E$2:$E$541,METAS_DIA!$B$2:$B$541,"FIJO",METAS_DIA!$C$2:$C$541,$H42)</f>
        <v>9615.38461545</v>
      </c>
      <c r="J42" s="21" t="n">
        <f aca="false">SUMIFS(METAS_DIA!$E$2:$E$541,METAS_DIA!$B$2:$B$541,"FIJO",METAS_DIA!$C$2:$C$541,$H42,METAS_DIA!$A$2:$A$541,"&lt;="&amp;PARAMETROS!$B$9)</f>
        <v>2846.15468575</v>
      </c>
      <c r="K42" s="21" t="n">
        <f aca="false">SUMIFS(DIARIO!$E$2:$E$171,DIARIO!$B$2:$B$171,"FIJO",DIARIO!$C$2:$C$171,$H42)</f>
        <v>1024.5</v>
      </c>
      <c r="L42" s="20" t="n">
        <f aca="false">IFERROR(K42/J42,0)</f>
        <v>0.359959353273882</v>
      </c>
      <c r="M42" s="21" t="n">
        <f aca="false">K42*PARAMETROS!$B$7</f>
        <v>3841.875</v>
      </c>
      <c r="O42" s="35" t="s">
        <v>58</v>
      </c>
      <c r="P42" s="19" t="n">
        <f aca="false">IFERROR(B42/I42,0)</f>
        <v>5199.99999991264</v>
      </c>
      <c r="Q42" s="19" t="n">
        <f aca="false">IFERROR(D42/K42,0)</f>
        <v>9584.80346998536</v>
      </c>
      <c r="R42" s="20" t="n">
        <f aca="false">IFERROR(Q42/P42,0)</f>
        <v>1.84323143656661</v>
      </c>
    </row>
    <row r="43" customFormat="false" ht="15" hidden="false" customHeight="false" outlineLevel="0" collapsed="false">
      <c r="A43" s="35" t="s">
        <v>59</v>
      </c>
      <c r="B43" s="19" t="n">
        <f aca="false">SUMIFS(METAS_DIA!$D$2:$D$541,METAS_DIA!$B$2:$B$541,"FIJO",METAS_DIA!$C$2:$C$541,$A43)</f>
        <v>0</v>
      </c>
      <c r="C43" s="19" t="n">
        <f aca="false">SUMIFS(METAS_DIA!$D$2:$D$541,METAS_DIA!$B$2:$B$541,"FIJO",METAS_DIA!$C$2:$C$541,$A43,METAS_DIA!$A$2:$A$541,"&lt;="&amp;PARAMETROS!$B$9)</f>
        <v>0</v>
      </c>
      <c r="D43" s="19" t="n">
        <f aca="false">SUMIFS(DIARIO!$D$2:$D$171,DIARIO!$B$2:$B$171,"FIJO",DIARIO!$C$2:$C$171,$A43)</f>
        <v>0</v>
      </c>
      <c r="E43" s="20" t="n">
        <f aca="false">IFERROR(D43/C43,0)</f>
        <v>0</v>
      </c>
      <c r="F43" s="19" t="n">
        <f aca="false">D43*PARAMETROS!$B$7</f>
        <v>0</v>
      </c>
      <c r="H43" s="35" t="s">
        <v>59</v>
      </c>
      <c r="I43" s="21" t="n">
        <f aca="false">SUMIFS(METAS_DIA!$E$2:$E$541,METAS_DIA!$B$2:$B$541,"FIJO",METAS_DIA!$C$2:$C$541,$H43)</f>
        <v>0</v>
      </c>
      <c r="J43" s="21" t="n">
        <f aca="false">SUMIFS(METAS_DIA!$E$2:$E$541,METAS_DIA!$B$2:$B$541,"FIJO",METAS_DIA!$C$2:$C$541,$H43,METAS_DIA!$A$2:$A$541,"&lt;="&amp;PARAMETROS!$B$9)</f>
        <v>0</v>
      </c>
      <c r="K43" s="21" t="n">
        <f aca="false">SUMIFS(DIARIO!$E$2:$E$171,DIARIO!$B$2:$B$171,"FIJO",DIARIO!$C$2:$C$171,$H43)</f>
        <v>0</v>
      </c>
      <c r="L43" s="20" t="n">
        <f aca="false">IFERROR(K43/J43,0)</f>
        <v>0</v>
      </c>
      <c r="M43" s="21" t="n">
        <f aca="false">K43*PARAMETROS!$B$7</f>
        <v>0</v>
      </c>
      <c r="O43" s="35" t="s">
        <v>59</v>
      </c>
      <c r="P43" s="19" t="n">
        <f aca="false">IFERROR(B43/I43,0)</f>
        <v>0</v>
      </c>
      <c r="Q43" s="19" t="n">
        <f aca="false">IFERROR(D43/K43,0)</f>
        <v>0</v>
      </c>
      <c r="R43" s="20" t="n">
        <f aca="false">IFERROR(Q43/P43,0)</f>
        <v>0</v>
      </c>
    </row>
    <row r="44" customFormat="false" ht="15" hidden="false" customHeight="false" outlineLevel="0" collapsed="false">
      <c r="A44" s="22" t="s">
        <v>60</v>
      </c>
      <c r="B44" s="23" t="n">
        <f aca="false">SUM(B34:B43)</f>
        <v>364319999.99603</v>
      </c>
      <c r="C44" s="23" t="n">
        <f aca="false">SUM(C34:C43)</f>
        <v>108715124.72044</v>
      </c>
      <c r="D44" s="23" t="n">
        <f aca="false">SUM(D34:D43)</f>
        <v>90012068.80515</v>
      </c>
      <c r="E44" s="24" t="n">
        <f aca="false">IFERROR(D44/C44,0)</f>
        <v>0.827962705618149</v>
      </c>
      <c r="F44" s="23" t="n">
        <f aca="false">SUM(F34:F43)</f>
        <v>337545258.019313</v>
      </c>
      <c r="H44" s="22" t="s">
        <v>60</v>
      </c>
      <c r="I44" s="25" t="n">
        <f aca="false">SUM(I34:I43)</f>
        <v>28820.121457148</v>
      </c>
      <c r="J44" s="25" t="n">
        <f aca="false">SUM(J34:J43)</f>
        <v>8582.584047987</v>
      </c>
      <c r="K44" s="25" t="n">
        <f aca="false">SUM(K34:K43)</f>
        <v>4561</v>
      </c>
      <c r="L44" s="24" t="n">
        <f aca="false">IFERROR(K44/J44,0)</f>
        <v>0.531425031726868</v>
      </c>
      <c r="M44" s="25" t="n">
        <f aca="false">SUM(M34:M43)</f>
        <v>17103.75</v>
      </c>
      <c r="O44" s="22" t="s">
        <v>60</v>
      </c>
      <c r="P44" s="23" t="n">
        <f aca="false">IFERROR(B44/I44,0)</f>
        <v>12641.1680997851</v>
      </c>
      <c r="Q44" s="23" t="n">
        <f aca="false">IFERROR(D44/K44,0)</f>
        <v>19735.1608868998</v>
      </c>
      <c r="R44" s="24" t="n">
        <f aca="false">IFERROR(Q44/P44,0)</f>
        <v>1.56118174611058</v>
      </c>
    </row>
    <row r="46" customFormat="false" ht="15" hidden="false" customHeight="false" outlineLevel="0" collapsed="false">
      <c r="A46" s="36" t="s">
        <v>73</v>
      </c>
      <c r="B46" s="36"/>
      <c r="C46" s="36"/>
      <c r="D46" s="36"/>
      <c r="E46" s="36"/>
      <c r="F46" s="36"/>
      <c r="G46" s="36"/>
      <c r="H46" s="36"/>
      <c r="I46" s="36"/>
      <c r="J46" s="36"/>
    </row>
    <row r="47" customFormat="false" ht="32.8" hidden="false" customHeight="false" outlineLevel="0" collapsed="false">
      <c r="A47" s="34" t="s">
        <v>41</v>
      </c>
      <c r="B47" s="34" t="s">
        <v>62</v>
      </c>
      <c r="C47" s="34" t="s">
        <v>63</v>
      </c>
      <c r="D47" s="34" t="s">
        <v>64</v>
      </c>
      <c r="E47" s="34" t="s">
        <v>65</v>
      </c>
      <c r="F47" s="34" t="s">
        <v>66</v>
      </c>
      <c r="G47" s="34" t="s">
        <v>32</v>
      </c>
      <c r="H47" s="34" t="s">
        <v>67</v>
      </c>
      <c r="I47" s="34" t="s">
        <v>68</v>
      </c>
      <c r="J47" s="34" t="s">
        <v>33</v>
      </c>
    </row>
    <row r="48" customFormat="false" ht="15" hidden="false" customHeight="false" outlineLevel="0" collapsed="false">
      <c r="A48" s="35" t="s">
        <v>72</v>
      </c>
      <c r="B48" s="37" t="n">
        <f aca="false">SUMIFS(DIARIO!$F$2:$F$171,DIARIO!$B$2:$B$171,"FIJO",DIARIO!$C$2:$C$171,$A48)</f>
        <v>9</v>
      </c>
      <c r="C48" s="37" t="n">
        <f aca="false">B48*PARAMETROS!$B$7</f>
        <v>33.75</v>
      </c>
      <c r="D48" s="19" t="n">
        <f aca="false">IFERROR(SUMIFS(DIARIO!$D$2:$D$171,DIARIO!$B$2:$B$171,"FIJO",DIARIO!$C$2:$C$171,$A48)/B48,0)</f>
        <v>0</v>
      </c>
      <c r="E48" s="37" t="n">
        <f aca="false">SUMIFS(DIARIO!$G$2:$G$171,DIARIO!$B$2:$B$171,"FIJO",DIARIO!$C$2:$C$171,$A48)</f>
        <v>1</v>
      </c>
      <c r="F48" s="37" t="n">
        <f aca="false">E48*PARAMETROS!$B$7</f>
        <v>3.75</v>
      </c>
      <c r="G48" s="19" t="n">
        <f aca="false">IFERROR(SUMIFS(DIARIO!$D$2:$D$171,DIARIO!$B$2:$B$171,"FIJO",DIARIO!$C$2:$C$171,$A48)/E48,0)</f>
        <v>0</v>
      </c>
      <c r="H48" s="37" t="n">
        <f aca="false">SUMIFS(DIARIO!$H$2:$H$171,DIARIO!$B$2:$B$171,"FIJO",DIARIO!$C$2:$C$171,$A48)</f>
        <v>1</v>
      </c>
      <c r="I48" s="37" t="n">
        <f aca="false">H48*PARAMETROS!$B$7</f>
        <v>3.75</v>
      </c>
      <c r="J48" s="19" t="n">
        <f aca="false">IFERROR(SUMIFS(DIARIO!$D$2:$D$171,DIARIO!$B$2:$B$171,"FIJO",DIARIO!$C$2:$C$171,$A48)/H48,0)</f>
        <v>0</v>
      </c>
    </row>
    <row r="49" customFormat="false" ht="15" hidden="false" customHeight="false" outlineLevel="0" collapsed="false">
      <c r="A49" s="35" t="s">
        <v>51</v>
      </c>
      <c r="B49" s="37" t="n">
        <f aca="false">SUMIFS(DIARIO!$F$2:$F$171,DIARIO!$B$2:$B$171,"FIJO",DIARIO!$C$2:$C$171,$A49)</f>
        <v>401</v>
      </c>
      <c r="C49" s="37" t="n">
        <f aca="false">B49*PARAMETROS!$B$7</f>
        <v>1503.75</v>
      </c>
      <c r="D49" s="19" t="n">
        <f aca="false">IFERROR(SUMIFS(DIARIO!$D$2:$D$171,DIARIO!$B$2:$B$171,"FIJO",DIARIO!$C$2:$C$171,$A49)/B49,0)</f>
        <v>0</v>
      </c>
      <c r="E49" s="37" t="n">
        <f aca="false">SUMIFS(DIARIO!$G$2:$G$171,DIARIO!$B$2:$B$171,"FIJO",DIARIO!$C$2:$C$171,$A49)</f>
        <v>260</v>
      </c>
      <c r="F49" s="37" t="n">
        <f aca="false">E49*PARAMETROS!$B$7</f>
        <v>975</v>
      </c>
      <c r="G49" s="19" t="n">
        <f aca="false">IFERROR(SUMIFS(DIARIO!$D$2:$D$171,DIARIO!$B$2:$B$171,"FIJO",DIARIO!$C$2:$C$171,$A49)/E49,0)</f>
        <v>0</v>
      </c>
      <c r="H49" s="37" t="n">
        <f aca="false">SUMIFS(DIARIO!$H$2:$H$171,DIARIO!$B$2:$B$171,"FIJO",DIARIO!$C$2:$C$171,$A49)</f>
        <v>200</v>
      </c>
      <c r="I49" s="37" t="n">
        <f aca="false">H49*PARAMETROS!$B$7</f>
        <v>750</v>
      </c>
      <c r="J49" s="19" t="n">
        <f aca="false">IFERROR(SUMIFS(DIARIO!$D$2:$D$171,DIARIO!$B$2:$B$171,"FIJO",DIARIO!$C$2:$C$171,$A49)/H49,0)</f>
        <v>0</v>
      </c>
    </row>
    <row r="50" customFormat="false" ht="15" hidden="false" customHeight="false" outlineLevel="0" collapsed="false">
      <c r="A50" s="35" t="s">
        <v>52</v>
      </c>
      <c r="B50" s="37" t="n">
        <f aca="false">SUMIFS(DIARIO!$F$2:$F$171,DIARIO!$B$2:$B$171,"FIJO",DIARIO!$C$2:$C$171,$A50)</f>
        <v>43</v>
      </c>
      <c r="C50" s="37" t="n">
        <f aca="false">B50*PARAMETROS!$B$7</f>
        <v>161.25</v>
      </c>
      <c r="D50" s="19" t="n">
        <f aca="false">IFERROR(SUMIFS(DIARIO!$D$2:$D$171,DIARIO!$B$2:$B$171,"FIJO",DIARIO!$C$2:$C$171,$A50)/B50,0)</f>
        <v>34581.249272093</v>
      </c>
      <c r="E50" s="37" t="n">
        <f aca="false">SUMIFS(DIARIO!$G$2:$G$171,DIARIO!$B$2:$B$171,"FIJO",DIARIO!$C$2:$C$171,$A50)</f>
        <v>30</v>
      </c>
      <c r="F50" s="37" t="n">
        <f aca="false">E50*PARAMETROS!$B$7</f>
        <v>112.5</v>
      </c>
      <c r="G50" s="19" t="n">
        <f aca="false">IFERROR(SUMIFS(DIARIO!$D$2:$D$171,DIARIO!$B$2:$B$171,"FIJO",DIARIO!$C$2:$C$171,$A50)/E50,0)</f>
        <v>49566.45729</v>
      </c>
      <c r="H50" s="37" t="n">
        <f aca="false">SUMIFS(DIARIO!$H$2:$H$171,DIARIO!$B$2:$B$171,"FIJO",DIARIO!$C$2:$C$171,$A50)</f>
        <v>31</v>
      </c>
      <c r="I50" s="37" t="n">
        <f aca="false">H50*PARAMETROS!$B$7</f>
        <v>116.25</v>
      </c>
      <c r="J50" s="19" t="n">
        <f aca="false">IFERROR(SUMIFS(DIARIO!$D$2:$D$171,DIARIO!$B$2:$B$171,"FIJO",DIARIO!$C$2:$C$171,$A50)/H50,0)</f>
        <v>47967.5393129032</v>
      </c>
    </row>
    <row r="51" customFormat="false" ht="15" hidden="false" customHeight="false" outlineLevel="0" collapsed="false">
      <c r="A51" s="35" t="s">
        <v>53</v>
      </c>
      <c r="B51" s="37" t="n">
        <f aca="false">SUMIFS(DIARIO!$F$2:$F$171,DIARIO!$B$2:$B$171,"FIJO",DIARIO!$C$2:$C$171,$A51)</f>
        <v>59</v>
      </c>
      <c r="C51" s="37" t="n">
        <f aca="false">B51*PARAMETROS!$B$7</f>
        <v>221.25</v>
      </c>
      <c r="D51" s="19" t="n">
        <f aca="false">IFERROR(SUMIFS(DIARIO!$D$2:$D$171,DIARIO!$B$2:$B$171,"FIJO",DIARIO!$C$2:$C$171,$A51)/B51,0)</f>
        <v>5005.98891610169</v>
      </c>
      <c r="E51" s="37" t="n">
        <f aca="false">SUMIFS(DIARIO!$G$2:$G$171,DIARIO!$B$2:$B$171,"FIJO",DIARIO!$C$2:$C$171,$A51)</f>
        <v>31.5</v>
      </c>
      <c r="F51" s="37" t="n">
        <f aca="false">E51*PARAMETROS!$B$7</f>
        <v>118.125</v>
      </c>
      <c r="G51" s="19" t="n">
        <f aca="false">IFERROR(SUMIFS(DIARIO!$D$2:$D$171,DIARIO!$B$2:$B$171,"FIJO",DIARIO!$C$2:$C$171,$A51)/E51,0)</f>
        <v>9376.2967</v>
      </c>
      <c r="H51" s="37" t="n">
        <f aca="false">SUMIFS(DIARIO!$H$2:$H$171,DIARIO!$B$2:$B$171,"FIJO",DIARIO!$C$2:$C$171,$A51)</f>
        <v>22</v>
      </c>
      <c r="I51" s="37" t="n">
        <f aca="false">H51*PARAMETROS!$B$7</f>
        <v>82.5</v>
      </c>
      <c r="J51" s="19" t="n">
        <f aca="false">IFERROR(SUMIFS(DIARIO!$D$2:$D$171,DIARIO!$B$2:$B$171,"FIJO",DIARIO!$C$2:$C$171,$A51)/H51,0)</f>
        <v>13425.1520931818</v>
      </c>
    </row>
    <row r="52" customFormat="false" ht="15" hidden="false" customHeight="false" outlineLevel="0" collapsed="false">
      <c r="A52" s="35" t="s">
        <v>22</v>
      </c>
      <c r="B52" s="37" t="n">
        <f aca="false">SUMIFS(DIARIO!$F$2:$F$171,DIARIO!$B$2:$B$171,"FIJO",DIARIO!$C$2:$C$171,$A52)</f>
        <v>273</v>
      </c>
      <c r="C52" s="37" t="n">
        <f aca="false">B52*PARAMETROS!$B$7</f>
        <v>1023.75</v>
      </c>
      <c r="D52" s="19" t="n">
        <f aca="false">IFERROR(SUMIFS(DIARIO!$D$2:$D$171,DIARIO!$B$2:$B$171,"FIJO",DIARIO!$C$2:$C$171,$A52)/B52,0)</f>
        <v>22686.7374923077</v>
      </c>
      <c r="E52" s="37" t="n">
        <f aca="false">SUMIFS(DIARIO!$G$2:$G$171,DIARIO!$B$2:$B$171,"FIJO",DIARIO!$C$2:$C$171,$A52)</f>
        <v>119</v>
      </c>
      <c r="F52" s="37" t="n">
        <f aca="false">E52*PARAMETROS!$B$7</f>
        <v>446.25</v>
      </c>
      <c r="G52" s="19" t="n">
        <f aca="false">IFERROR(SUMIFS(DIARIO!$D$2:$D$171,DIARIO!$B$2:$B$171,"FIJO",DIARIO!$C$2:$C$171,$A52)/E52,0)</f>
        <v>52046.0448352941</v>
      </c>
      <c r="H52" s="37" t="n">
        <f aca="false">SUMIFS(DIARIO!$H$2:$H$171,DIARIO!$B$2:$B$171,"FIJO",DIARIO!$C$2:$C$171,$A52)</f>
        <v>120</v>
      </c>
      <c r="I52" s="37" t="n">
        <f aca="false">H52*PARAMETROS!$B$7</f>
        <v>450</v>
      </c>
      <c r="J52" s="19" t="n">
        <f aca="false">IFERROR(SUMIFS(DIARIO!$D$2:$D$171,DIARIO!$B$2:$B$171,"FIJO",DIARIO!$C$2:$C$171,$A52)/H52,0)</f>
        <v>51612.327795</v>
      </c>
    </row>
    <row r="53" customFormat="false" ht="15" hidden="false" customHeight="false" outlineLevel="0" collapsed="false">
      <c r="A53" s="35" t="s">
        <v>55</v>
      </c>
      <c r="B53" s="37" t="n">
        <f aca="false">SUMIFS(DIARIO!$F$2:$F$171,DIARIO!$B$2:$B$171,"FIJO",DIARIO!$C$2:$C$171,$A53)</f>
        <v>295</v>
      </c>
      <c r="C53" s="37" t="n">
        <f aca="false">B53*PARAMETROS!$B$7</f>
        <v>1106.25</v>
      </c>
      <c r="D53" s="19" t="n">
        <f aca="false">IFERROR(SUMIFS(DIARIO!$D$2:$D$171,DIARIO!$B$2:$B$171,"FIJO",DIARIO!$C$2:$C$171,$A53)/B53,0)</f>
        <v>41707.8135932203</v>
      </c>
      <c r="E53" s="37" t="n">
        <f aca="false">SUMIFS(DIARIO!$G$2:$G$171,DIARIO!$B$2:$B$171,"FIJO",DIARIO!$C$2:$C$171,$A53)</f>
        <v>219</v>
      </c>
      <c r="F53" s="37" t="n">
        <f aca="false">E53*PARAMETROS!$B$7</f>
        <v>821.25</v>
      </c>
      <c r="G53" s="19" t="n">
        <f aca="false">IFERROR(SUMIFS(DIARIO!$D$2:$D$171,DIARIO!$B$2:$B$171,"FIJO",DIARIO!$C$2:$C$171,$A53)/E53,0)</f>
        <v>56181.7580365297</v>
      </c>
      <c r="H53" s="37" t="n">
        <f aca="false">SUMIFS(DIARIO!$H$2:$H$171,DIARIO!$B$2:$B$171,"FIJO",DIARIO!$C$2:$C$171,$A53)</f>
        <v>155</v>
      </c>
      <c r="I53" s="37" t="n">
        <f aca="false">H53*PARAMETROS!$B$7</f>
        <v>581.25</v>
      </c>
      <c r="J53" s="19" t="n">
        <f aca="false">IFERROR(SUMIFS(DIARIO!$D$2:$D$171,DIARIO!$B$2:$B$171,"FIJO",DIARIO!$C$2:$C$171,$A53)/H53,0)</f>
        <v>79379.3871612903</v>
      </c>
    </row>
    <row r="54" customFormat="false" ht="15" hidden="false" customHeight="false" outlineLevel="0" collapsed="false">
      <c r="A54" s="35" t="s">
        <v>56</v>
      </c>
      <c r="B54" s="37" t="n">
        <f aca="false">SUMIFS(DIARIO!$F$2:$F$171,DIARIO!$B$2:$B$171,"FIJO",DIARIO!$C$2:$C$171,$A54)</f>
        <v>198.5</v>
      </c>
      <c r="C54" s="37" t="n">
        <f aca="false">B54*PARAMETROS!$B$7</f>
        <v>744.375</v>
      </c>
      <c r="D54" s="19" t="n">
        <f aca="false">IFERROR(SUMIFS(DIARIO!$D$2:$D$171,DIARIO!$B$2:$B$171,"FIJO",DIARIO!$C$2:$C$171,$A54)/B54,0)</f>
        <v>25412.1872040302</v>
      </c>
      <c r="E54" s="37" t="n">
        <f aca="false">SUMIFS(DIARIO!$G$2:$G$171,DIARIO!$B$2:$B$171,"FIJO",DIARIO!$C$2:$C$171,$A54)</f>
        <v>71</v>
      </c>
      <c r="F54" s="37" t="n">
        <f aca="false">E54*PARAMETROS!$B$7</f>
        <v>266.25</v>
      </c>
      <c r="G54" s="19" t="n">
        <f aca="false">IFERROR(SUMIFS(DIARIO!$D$2:$D$171,DIARIO!$B$2:$B$171,"FIJO",DIARIO!$C$2:$C$171,$A54)/E54,0)</f>
        <v>71046.7487323944</v>
      </c>
      <c r="H54" s="37" t="n">
        <f aca="false">SUMIFS(DIARIO!$H$2:$H$171,DIARIO!$B$2:$B$171,"FIJO",DIARIO!$C$2:$C$171,$A54)</f>
        <v>48</v>
      </c>
      <c r="I54" s="37" t="n">
        <f aca="false">H54*PARAMETROS!$B$7</f>
        <v>180</v>
      </c>
      <c r="J54" s="19" t="n">
        <f aca="false">IFERROR(SUMIFS(DIARIO!$D$2:$D$171,DIARIO!$B$2:$B$171,"FIJO",DIARIO!$C$2:$C$171,$A54)/H54,0)</f>
        <v>105089.9825</v>
      </c>
    </row>
    <row r="55" customFormat="false" ht="15" hidden="false" customHeight="false" outlineLevel="0" collapsed="false">
      <c r="A55" s="35" t="s">
        <v>57</v>
      </c>
      <c r="B55" s="37" t="n">
        <f aca="false">SUMIFS(DIARIO!$F$2:$F$171,DIARIO!$B$2:$B$171,"FIJO",DIARIO!$C$2:$C$171,$A55)</f>
        <v>1450</v>
      </c>
      <c r="C55" s="37" t="n">
        <f aca="false">B55*PARAMETROS!$B$7</f>
        <v>5437.5</v>
      </c>
      <c r="D55" s="19" t="n">
        <f aca="false">IFERROR(SUMIFS(DIARIO!$D$2:$D$171,DIARIO!$B$2:$B$171,"FIJO",DIARIO!$C$2:$C$171,$A55)/B55,0)</f>
        <v>37840.3359172414</v>
      </c>
      <c r="E55" s="37" t="n">
        <f aca="false">SUMIFS(DIARIO!$G$2:$G$171,DIARIO!$B$2:$B$171,"FIJO",DIARIO!$C$2:$C$171,$A55)</f>
        <v>1125</v>
      </c>
      <c r="F55" s="37" t="n">
        <f aca="false">E55*PARAMETROS!$B$7</f>
        <v>4218.75</v>
      </c>
      <c r="G55" s="19" t="n">
        <f aca="false">IFERROR(SUMIFS(DIARIO!$D$2:$D$171,DIARIO!$B$2:$B$171,"FIJO",DIARIO!$C$2:$C$171,$A55)/E55,0)</f>
        <v>48771.9885155556</v>
      </c>
      <c r="H55" s="37" t="n">
        <f aca="false">SUMIFS(DIARIO!$H$2:$H$171,DIARIO!$B$2:$B$171,"FIJO",DIARIO!$C$2:$C$171,$A55)</f>
        <v>915</v>
      </c>
      <c r="I55" s="37" t="n">
        <f aca="false">H55*PARAMETROS!$B$7</f>
        <v>3431.25</v>
      </c>
      <c r="J55" s="19" t="n">
        <f aca="false">IFERROR(SUMIFS(DIARIO!$D$2:$D$171,DIARIO!$B$2:$B$171,"FIJO",DIARIO!$C$2:$C$171,$A55)/H55,0)</f>
        <v>59965.5596502732</v>
      </c>
    </row>
    <row r="56" customFormat="false" ht="15" hidden="false" customHeight="false" outlineLevel="0" collapsed="false">
      <c r="A56" s="35" t="s">
        <v>58</v>
      </c>
      <c r="B56" s="37" t="n">
        <f aca="false">SUMIFS(DIARIO!$F$2:$F$171,DIARIO!$B$2:$B$171,"FIJO",DIARIO!$C$2:$C$171,$A56)</f>
        <v>840</v>
      </c>
      <c r="C56" s="37" t="n">
        <f aca="false">B56*PARAMETROS!$B$7</f>
        <v>3150</v>
      </c>
      <c r="D56" s="19" t="n">
        <f aca="false">IFERROR(SUMIFS(DIARIO!$D$2:$D$171,DIARIO!$B$2:$B$171,"FIJO",DIARIO!$C$2:$C$171,$A56)/B56,0)</f>
        <v>11690.0370892857</v>
      </c>
      <c r="E56" s="37" t="n">
        <f aca="false">SUMIFS(DIARIO!$G$2:$G$171,DIARIO!$B$2:$B$171,"FIJO",DIARIO!$C$2:$C$171,$A56)</f>
        <v>392.5</v>
      </c>
      <c r="F56" s="37" t="n">
        <f aca="false">E56*PARAMETROS!$B$7</f>
        <v>1471.875</v>
      </c>
      <c r="G56" s="19" t="n">
        <f aca="false">IFERROR(SUMIFS(DIARIO!$D$2:$D$171,DIARIO!$B$2:$B$171,"FIJO",DIARIO!$C$2:$C$171,$A56)/E56,0)</f>
        <v>25018.1685477707</v>
      </c>
      <c r="H56" s="37" t="n">
        <f aca="false">SUMIFS(DIARIO!$H$2:$H$171,DIARIO!$B$2:$B$171,"FIJO",DIARIO!$C$2:$C$171,$A56)</f>
        <v>349</v>
      </c>
      <c r="I56" s="37" t="n">
        <f aca="false">H56*PARAMETROS!$B$7</f>
        <v>1308.75</v>
      </c>
      <c r="J56" s="19" t="n">
        <f aca="false">IFERROR(SUMIFS(DIARIO!$D$2:$D$171,DIARIO!$B$2:$B$171,"FIJO",DIARIO!$C$2:$C$171,$A56)/H56,0)</f>
        <v>28136.4789541547</v>
      </c>
    </row>
    <row r="57" customFormat="false" ht="15" hidden="false" customHeight="false" outlineLevel="0" collapsed="false">
      <c r="A57" s="35" t="s">
        <v>59</v>
      </c>
      <c r="B57" s="37" t="n">
        <f aca="false">SUMIFS(DIARIO!$F$2:$F$171,DIARIO!$B$2:$B$171,"FIJO",DIARIO!$C$2:$C$171,$A57)</f>
        <v>13</v>
      </c>
      <c r="C57" s="37" t="n">
        <f aca="false">B57*PARAMETROS!$B$7</f>
        <v>48.75</v>
      </c>
      <c r="D57" s="19" t="n">
        <f aca="false">IFERROR(SUMIFS(DIARIO!$D$2:$D$171,DIARIO!$B$2:$B$171,"FIJO",DIARIO!$C$2:$C$171,$A57)/B57,0)</f>
        <v>0</v>
      </c>
      <c r="E57" s="37" t="n">
        <f aca="false">SUMIFS(DIARIO!$G$2:$G$171,DIARIO!$B$2:$B$171,"FIJO",DIARIO!$C$2:$C$171,$A57)</f>
        <v>0</v>
      </c>
      <c r="F57" s="37" t="n">
        <f aca="false">E57*PARAMETROS!$B$7</f>
        <v>0</v>
      </c>
      <c r="G57" s="19" t="n">
        <f aca="false">IFERROR(SUMIFS(DIARIO!$D$2:$D$171,DIARIO!$B$2:$B$171,"FIJO",DIARIO!$C$2:$C$171,$A57)/E57,0)</f>
        <v>0</v>
      </c>
      <c r="H57" s="37" t="n">
        <f aca="false">SUMIFS(DIARIO!$H$2:$H$171,DIARIO!$B$2:$B$171,"FIJO",DIARIO!$C$2:$C$171,$A57)</f>
        <v>0</v>
      </c>
      <c r="I57" s="37" t="n">
        <f aca="false">H57*PARAMETROS!$B$7</f>
        <v>0</v>
      </c>
      <c r="J57" s="19" t="n">
        <f aca="false">IFERROR(SUMIFS(DIARIO!$D$2:$D$171,DIARIO!$B$2:$B$171,"FIJO",DIARIO!$C$2:$C$171,$A57)/H57,0)</f>
        <v>0</v>
      </c>
    </row>
    <row r="58" customFormat="false" ht="15" hidden="false" customHeight="false" outlineLevel="0" collapsed="false">
      <c r="A58" s="22" t="s">
        <v>60</v>
      </c>
      <c r="B58" s="38" t="n">
        <f aca="false">SUM(B48:B57)</f>
        <v>3581.5</v>
      </c>
      <c r="C58" s="38" t="n">
        <f aca="false">SUM(C48:C57)</f>
        <v>13430.625</v>
      </c>
      <c r="D58" s="23" t="n">
        <f aca="false">IFERROR(SUMIFS(DIARIO!$D$2:$D$171,DIARIO!$B$2:$B$171,"FIJO")/B58,0)</f>
        <v>25132.505599651</v>
      </c>
      <c r="E58" s="38" t="n">
        <f aca="false">SUM(E48:E57)</f>
        <v>2249</v>
      </c>
      <c r="F58" s="38" t="n">
        <f aca="false">SUM(F48:F57)</f>
        <v>8433.75</v>
      </c>
      <c r="G58" s="23" t="n">
        <f aca="false">IFERROR(SUMIFS(DIARIO!$D$2:$D$171,DIARIO!$B$2:$B$171,"FIJO")/E58,0)</f>
        <v>40023.1519809471</v>
      </c>
      <c r="H58" s="38" t="n">
        <f aca="false">SUM(H48:H57)</f>
        <v>1841</v>
      </c>
      <c r="I58" s="38" t="n">
        <f aca="false">SUM(I48:I57)</f>
        <v>6903.75</v>
      </c>
      <c r="J58" s="23" t="n">
        <f aca="false">IFERROR(SUMIFS(DIARIO!$D$2:$D$171,DIARIO!$B$2:$B$171,"FIJO")/H58,0)</f>
        <v>48893.0303124117</v>
      </c>
    </row>
    <row r="60" customFormat="false" ht="15" hidden="false" customHeight="false" outlineLevel="0" collapsed="false">
      <c r="A60" s="39" t="s">
        <v>74</v>
      </c>
      <c r="B60" s="39"/>
      <c r="C60" s="39"/>
      <c r="D60" s="39"/>
      <c r="E60" s="39"/>
      <c r="F60" s="39"/>
      <c r="H60" s="39" t="s">
        <v>75</v>
      </c>
      <c r="I60" s="39"/>
      <c r="J60" s="39"/>
      <c r="K60" s="39"/>
      <c r="L60" s="39"/>
      <c r="M60" s="39"/>
      <c r="O60" s="39" t="s">
        <v>76</v>
      </c>
      <c r="P60" s="39"/>
      <c r="Q60" s="39"/>
      <c r="R60" s="39"/>
    </row>
    <row r="61" customFormat="false" ht="15" hidden="false" customHeight="false" outlineLevel="0" collapsed="false">
      <c r="A61" s="34" t="s">
        <v>41</v>
      </c>
      <c r="B61" s="34" t="s">
        <v>42</v>
      </c>
      <c r="C61" s="34" t="s">
        <v>43</v>
      </c>
      <c r="D61" s="34" t="s">
        <v>44</v>
      </c>
      <c r="E61" s="34" t="s">
        <v>45</v>
      </c>
      <c r="F61" s="34" t="s">
        <v>46</v>
      </c>
      <c r="H61" s="34" t="s">
        <v>41</v>
      </c>
      <c r="I61" s="34" t="s">
        <v>47</v>
      </c>
      <c r="J61" s="34" t="s">
        <v>43</v>
      </c>
      <c r="K61" s="34" t="s">
        <v>48</v>
      </c>
      <c r="L61" s="34" t="s">
        <v>45</v>
      </c>
      <c r="M61" s="34" t="s">
        <v>49</v>
      </c>
      <c r="O61" s="34" t="s">
        <v>41</v>
      </c>
      <c r="P61" s="34" t="s">
        <v>8</v>
      </c>
      <c r="Q61" s="34" t="s">
        <v>31</v>
      </c>
      <c r="R61" s="34" t="s">
        <v>50</v>
      </c>
    </row>
    <row r="62" customFormat="false" ht="15" hidden="false" customHeight="false" outlineLevel="0" collapsed="false">
      <c r="A62" s="35" t="s">
        <v>53</v>
      </c>
      <c r="B62" s="19" t="n">
        <f aca="false">SUMIFS(METAS_DIA!$D$2:$D$541,METAS_DIA!$B$2:$B$541,"MIXTO",METAS_DIA!$C$2:$C$541,$A62)</f>
        <v>1999999.99996</v>
      </c>
      <c r="C62" s="19" t="n">
        <f aca="false">SUMIFS(METAS_DIA!$D$2:$D$541,METAS_DIA!$B$2:$B$541,"MIXTO",METAS_DIA!$C$2:$C$541,$A62,METAS_DIA!$A$2:$A$541,"&lt;="&amp;PARAMETROS!$B$9)</f>
        <v>592000.17458</v>
      </c>
      <c r="D62" s="19" t="n">
        <f aca="false">SUMIFS(DIARIO!$D$2:$D$171,DIARIO!$B$2:$B$171,"MIXTO",DIARIO!$C$2:$C$171,$A62)</f>
        <v>590706.6921</v>
      </c>
      <c r="E62" s="20" t="n">
        <f aca="false">IFERROR(D62/C62,0)</f>
        <v>0.997815064022713</v>
      </c>
      <c r="F62" s="19" t="n">
        <f aca="false">D62*PARAMETROS!$B$7</f>
        <v>2215150.095375</v>
      </c>
      <c r="H62" s="35" t="s">
        <v>53</v>
      </c>
      <c r="I62" s="21" t="n">
        <f aca="false">SUMIFS(METAS_DIA!$E$2:$E$541,METAS_DIA!$B$2:$B$541,"MIXTO",METAS_DIA!$C$2:$C$541,$H62)</f>
        <v>166.666666666</v>
      </c>
      <c r="J62" s="21" t="n">
        <f aca="false">SUMIFS(METAS_DIA!$E$2:$E$541,METAS_DIA!$B$2:$B$541,"MIXTO",METAS_DIA!$C$2:$C$541,$H62,METAS_DIA!$A$2:$A$541,"&lt;="&amp;PARAMETROS!$B$9)</f>
        <v>49.333347884</v>
      </c>
      <c r="K62" s="21" t="n">
        <f aca="false">SUMIFS(DIARIO!$E$2:$E$171,DIARIO!$B$2:$B$171,"MIXTO",DIARIO!$C$2:$C$171,$H62)</f>
        <v>295</v>
      </c>
      <c r="L62" s="20" t="n">
        <f aca="false">IFERROR(K62/J62,0)</f>
        <v>5.97972796603321</v>
      </c>
      <c r="M62" s="21" t="n">
        <f aca="false">K62*PARAMETROS!$B$7</f>
        <v>1106.25</v>
      </c>
      <c r="O62" s="35" t="s">
        <v>53</v>
      </c>
      <c r="P62" s="19" t="n">
        <f aca="false">IFERROR(B62/I62,0)</f>
        <v>11999.999999808</v>
      </c>
      <c r="Q62" s="19" t="n">
        <f aca="false">IFERROR(D62/K62,0)</f>
        <v>2002.39556644068</v>
      </c>
      <c r="R62" s="20" t="n">
        <f aca="false">IFERROR(Q62/P62,0)</f>
        <v>0.16686629720606</v>
      </c>
    </row>
    <row r="63" customFormat="false" ht="15" hidden="false" customHeight="false" outlineLevel="0" collapsed="false">
      <c r="A63" s="35" t="s">
        <v>56</v>
      </c>
      <c r="B63" s="19" t="n">
        <f aca="false">SUMIFS(METAS_DIA!$D$2:$D$541,METAS_DIA!$B$2:$B$541,"MIXTO",METAS_DIA!$C$2:$C$541,$A63)</f>
        <v>18000000.0001</v>
      </c>
      <c r="C63" s="19" t="n">
        <f aca="false">SUMIFS(METAS_DIA!$D$2:$D$541,METAS_DIA!$B$2:$B$541,"MIXTO",METAS_DIA!$C$2:$C$541,$A63,METAS_DIA!$A$2:$A$541,"&lt;="&amp;PARAMETROS!$B$9)</f>
        <v>5328001.5717</v>
      </c>
      <c r="D63" s="19" t="n">
        <f aca="false">SUMIFS(DIARIO!$D$2:$D$171,DIARIO!$B$2:$B$171,"MIXTO",DIARIO!$C$2:$C$171,$A63)</f>
        <v>10088638.32</v>
      </c>
      <c r="E63" s="20" t="n">
        <f aca="false">IFERROR(D63/C63,0)</f>
        <v>1.89351263963329</v>
      </c>
      <c r="F63" s="19" t="n">
        <f aca="false">D63*PARAMETROS!$B$7</f>
        <v>37832393.7</v>
      </c>
      <c r="H63" s="35" t="s">
        <v>56</v>
      </c>
      <c r="I63" s="21" t="n">
        <f aca="false">SUMIFS(METAS_DIA!$E$2:$E$541,METAS_DIA!$B$2:$B$541,"MIXTO",METAS_DIA!$C$2:$C$541,$H63)</f>
        <v>2250.00000003</v>
      </c>
      <c r="J63" s="21" t="n">
        <f aca="false">SUMIFS(METAS_DIA!$E$2:$E$541,METAS_DIA!$B$2:$B$541,"MIXTO",METAS_DIA!$C$2:$C$541,$H63,METAS_DIA!$A$2:$A$541,"&lt;="&amp;PARAMETROS!$B$9)</f>
        <v>666.00019647</v>
      </c>
      <c r="K63" s="21" t="n">
        <f aca="false">SUMIFS(DIARIO!$E$2:$E$171,DIARIO!$B$2:$B$171,"MIXTO",DIARIO!$C$2:$C$171,$H63)</f>
        <v>604</v>
      </c>
      <c r="L63" s="20" t="n">
        <f aca="false">IFERROR(K63/J63,0)</f>
        <v>0.906906639369448</v>
      </c>
      <c r="M63" s="21" t="n">
        <f aca="false">K63*PARAMETROS!$B$7</f>
        <v>2265</v>
      </c>
      <c r="O63" s="35" t="s">
        <v>56</v>
      </c>
      <c r="P63" s="19" t="n">
        <f aca="false">IFERROR(B63/I63,0)</f>
        <v>7999.99999993778</v>
      </c>
      <c r="Q63" s="19" t="n">
        <f aca="false">IFERROR(D63/K63,0)</f>
        <v>16703.0435761589</v>
      </c>
      <c r="R63" s="20" t="n">
        <f aca="false">IFERROR(Q63/P63,0)</f>
        <v>2.08788044703611</v>
      </c>
    </row>
    <row r="64" customFormat="false" ht="15" hidden="false" customHeight="false" outlineLevel="0" collapsed="false">
      <c r="A64" s="35" t="s">
        <v>58</v>
      </c>
      <c r="B64" s="19" t="n">
        <f aca="false">SUMIFS(METAS_DIA!$D$2:$D$541,METAS_DIA!$B$2:$B$541,"MIXTO",METAS_DIA!$C$2:$C$541,$A64)</f>
        <v>99999999.999</v>
      </c>
      <c r="C64" s="19" t="n">
        <f aca="false">SUMIFS(METAS_DIA!$D$2:$D$541,METAS_DIA!$B$2:$B$541,"MIXTO",METAS_DIA!$C$2:$C$541,$A64,METAS_DIA!$A$2:$A$541,"&lt;="&amp;PARAMETROS!$B$9)</f>
        <v>29600008.731</v>
      </c>
      <c r="D64" s="19" t="n">
        <f aca="false">SUMIFS(DIARIO!$D$2:$D$171,DIARIO!$B$2:$B$171,"MIXTO",DIARIO!$C$2:$C$171,$A64)</f>
        <v>19639262.31</v>
      </c>
      <c r="E64" s="20" t="n">
        <f aca="false">IFERROR(D64/C64,0)</f>
        <v>0.663488395847392</v>
      </c>
      <c r="F64" s="19" t="n">
        <f aca="false">D64*PARAMETROS!$B$7</f>
        <v>73647233.6625</v>
      </c>
      <c r="H64" s="35" t="s">
        <v>58</v>
      </c>
      <c r="I64" s="21" t="n">
        <f aca="false">SUMIFS(METAS_DIA!$E$2:$E$541,METAS_DIA!$B$2:$B$541,"MIXTO",METAS_DIA!$C$2:$C$541,$H64)</f>
        <v>19230.7692309</v>
      </c>
      <c r="J64" s="21" t="n">
        <f aca="false">SUMIFS(METAS_DIA!$E$2:$E$541,METAS_DIA!$B$2:$B$541,"MIXTO",METAS_DIA!$C$2:$C$541,$H64,METAS_DIA!$A$2:$A$541,"&lt;="&amp;PARAMETROS!$B$9)</f>
        <v>5692.3093715</v>
      </c>
      <c r="K64" s="21" t="n">
        <f aca="false">SUMIFS(DIARIO!$E$2:$E$171,DIARIO!$B$2:$B$171,"MIXTO",DIARIO!$C$2:$C$171,$H64)</f>
        <v>2049</v>
      </c>
      <c r="L64" s="20" t="n">
        <f aca="false">IFERROR(K64/J64,0)</f>
        <v>0.359959353273882</v>
      </c>
      <c r="M64" s="21" t="n">
        <f aca="false">K64*PARAMETROS!$B$7</f>
        <v>7683.75</v>
      </c>
      <c r="O64" s="35" t="s">
        <v>58</v>
      </c>
      <c r="P64" s="19" t="n">
        <f aca="false">IFERROR(B64/I64,0)</f>
        <v>5199.99999991264</v>
      </c>
      <c r="Q64" s="19" t="n">
        <f aca="false">IFERROR(D64/K64,0)</f>
        <v>9584.80346998536</v>
      </c>
      <c r="R64" s="20" t="n">
        <f aca="false">IFERROR(Q64/P64,0)</f>
        <v>1.84323143656661</v>
      </c>
    </row>
    <row r="65" customFormat="false" ht="15" hidden="false" customHeight="false" outlineLevel="0" collapsed="false">
      <c r="A65" s="22" t="s">
        <v>60</v>
      </c>
      <c r="B65" s="23" t="n">
        <f aca="false">SUM(B62:B64)</f>
        <v>119999999.99906</v>
      </c>
      <c r="C65" s="23" t="n">
        <f aca="false">SUM(C62:C64)</f>
        <v>35520010.47728</v>
      </c>
      <c r="D65" s="23" t="n">
        <f aca="false">SUM(D62:D64)</f>
        <v>30318607.3221</v>
      </c>
      <c r="E65" s="24" t="n">
        <f aca="false">IFERROR(D65/C65,0)</f>
        <v>0.853564143554884</v>
      </c>
      <c r="F65" s="23" t="n">
        <f aca="false">SUM(F62:F64)</f>
        <v>113694777.457875</v>
      </c>
      <c r="H65" s="22" t="s">
        <v>60</v>
      </c>
      <c r="I65" s="25" t="n">
        <f aca="false">SUM(I62:I64)</f>
        <v>21647.435897596</v>
      </c>
      <c r="J65" s="25" t="n">
        <f aca="false">SUM(J62:J64)</f>
        <v>6407.642915854</v>
      </c>
      <c r="K65" s="25" t="n">
        <f aca="false">SUM(K62:K64)</f>
        <v>2948</v>
      </c>
      <c r="L65" s="24" t="n">
        <f aca="false">IFERROR(K65/J65,0)</f>
        <v>0.460075575170702</v>
      </c>
      <c r="M65" s="25" t="n">
        <f aca="false">SUM(M62:M64)</f>
        <v>11055</v>
      </c>
      <c r="O65" s="22" t="s">
        <v>60</v>
      </c>
      <c r="P65" s="23" t="n">
        <f aca="false">IFERROR(B65/I65,0)</f>
        <v>5543.38169964907</v>
      </c>
      <c r="Q65" s="23" t="n">
        <f aca="false">IFERROR(D65/K65,0)</f>
        <v>10284.466527171</v>
      </c>
      <c r="R65" s="24" t="n">
        <f aca="false">IFERROR(Q65/P65,0)</f>
        <v>1.85526941574708</v>
      </c>
    </row>
    <row r="67" customFormat="false" ht="15" hidden="false" customHeight="false" outlineLevel="0" collapsed="false">
      <c r="A67" s="36" t="s">
        <v>77</v>
      </c>
      <c r="B67" s="36"/>
      <c r="C67" s="36"/>
      <c r="D67" s="36"/>
      <c r="E67" s="36"/>
      <c r="F67" s="36"/>
      <c r="G67" s="36"/>
      <c r="H67" s="36"/>
      <c r="I67" s="36"/>
      <c r="J67" s="36"/>
    </row>
    <row r="68" customFormat="false" ht="32.8" hidden="false" customHeight="false" outlineLevel="0" collapsed="false">
      <c r="A68" s="34" t="s">
        <v>41</v>
      </c>
      <c r="B68" s="34" t="s">
        <v>62</v>
      </c>
      <c r="C68" s="34" t="s">
        <v>63</v>
      </c>
      <c r="D68" s="34" t="s">
        <v>64</v>
      </c>
      <c r="E68" s="34" t="s">
        <v>65</v>
      </c>
      <c r="F68" s="34" t="s">
        <v>66</v>
      </c>
      <c r="G68" s="34" t="s">
        <v>32</v>
      </c>
      <c r="H68" s="34" t="s">
        <v>67</v>
      </c>
      <c r="I68" s="34" t="s">
        <v>68</v>
      </c>
      <c r="J68" s="34" t="s">
        <v>33</v>
      </c>
    </row>
    <row r="69" customFormat="false" ht="15" hidden="false" customHeight="false" outlineLevel="0" collapsed="false">
      <c r="A69" s="35" t="s">
        <v>53</v>
      </c>
      <c r="B69" s="37" t="n">
        <f aca="false">SUMIFS(DIARIO!$F$2:$F$171,DIARIO!$B$2:$B$171,"MIXTO",DIARIO!$C$2:$C$171,$A69)</f>
        <v>118</v>
      </c>
      <c r="C69" s="37" t="n">
        <f aca="false">B69*PARAMETROS!$B$7</f>
        <v>442.5</v>
      </c>
      <c r="D69" s="19" t="n">
        <f aca="false">IFERROR(SUMIFS(DIARIO!$D$2:$D$171,DIARIO!$B$2:$B$171,"MIXTO",DIARIO!$C$2:$C$171,$A69)/B69,0)</f>
        <v>5005.98891610169</v>
      </c>
      <c r="E69" s="37" t="n">
        <f aca="false">SUMIFS(DIARIO!$G$2:$G$171,DIARIO!$B$2:$B$171,"MIXTO",DIARIO!$C$2:$C$171,$A69)</f>
        <v>63</v>
      </c>
      <c r="F69" s="37" t="n">
        <f aca="false">E69*PARAMETROS!$B$7</f>
        <v>236.25</v>
      </c>
      <c r="G69" s="19" t="n">
        <f aca="false">IFERROR(SUMIFS(DIARIO!$D$2:$D$171,DIARIO!$B$2:$B$171,"MIXTO",DIARIO!$C$2:$C$171,$A69)/E69,0)</f>
        <v>9376.2967</v>
      </c>
      <c r="H69" s="37" t="n">
        <f aca="false">SUMIFS(DIARIO!$H$2:$H$171,DIARIO!$B$2:$B$171,"MIXTO",DIARIO!$C$2:$C$171,$A69)</f>
        <v>44</v>
      </c>
      <c r="I69" s="37" t="n">
        <f aca="false">H69*PARAMETROS!$B$7</f>
        <v>165</v>
      </c>
      <c r="J69" s="19" t="n">
        <f aca="false">IFERROR(SUMIFS(DIARIO!$D$2:$D$171,DIARIO!$B$2:$B$171,"MIXTO",DIARIO!$C$2:$C$171,$A69)/H69,0)</f>
        <v>13425.1520931818</v>
      </c>
    </row>
    <row r="70" customFormat="false" ht="15" hidden="false" customHeight="false" outlineLevel="0" collapsed="false">
      <c r="A70" s="35" t="s">
        <v>56</v>
      </c>
      <c r="B70" s="37" t="n">
        <f aca="false">SUMIFS(DIARIO!$F$2:$F$171,DIARIO!$B$2:$B$171,"MIXTO",DIARIO!$C$2:$C$171,$A70)</f>
        <v>397</v>
      </c>
      <c r="C70" s="37" t="n">
        <f aca="false">B70*PARAMETROS!$B$7</f>
        <v>1488.75</v>
      </c>
      <c r="D70" s="19" t="n">
        <f aca="false">IFERROR(SUMIFS(DIARIO!$D$2:$D$171,DIARIO!$B$2:$B$171,"MIXTO",DIARIO!$C$2:$C$171,$A70)/B70,0)</f>
        <v>25412.1872040302</v>
      </c>
      <c r="E70" s="37" t="n">
        <f aca="false">SUMIFS(DIARIO!$G$2:$G$171,DIARIO!$B$2:$B$171,"MIXTO",DIARIO!$C$2:$C$171,$A70)</f>
        <v>142</v>
      </c>
      <c r="F70" s="37" t="n">
        <f aca="false">E70*PARAMETROS!$B$7</f>
        <v>532.5</v>
      </c>
      <c r="G70" s="19" t="n">
        <f aca="false">IFERROR(SUMIFS(DIARIO!$D$2:$D$171,DIARIO!$B$2:$B$171,"MIXTO",DIARIO!$C$2:$C$171,$A70)/E70,0)</f>
        <v>71046.7487323944</v>
      </c>
      <c r="H70" s="37" t="n">
        <f aca="false">SUMIFS(DIARIO!$H$2:$H$171,DIARIO!$B$2:$B$171,"MIXTO",DIARIO!$C$2:$C$171,$A70)</f>
        <v>96</v>
      </c>
      <c r="I70" s="37" t="n">
        <f aca="false">H70*PARAMETROS!$B$7</f>
        <v>360</v>
      </c>
      <c r="J70" s="19" t="n">
        <f aca="false">IFERROR(SUMIFS(DIARIO!$D$2:$D$171,DIARIO!$B$2:$B$171,"MIXTO",DIARIO!$C$2:$C$171,$A70)/H70,0)</f>
        <v>105089.9825</v>
      </c>
    </row>
    <row r="71" customFormat="false" ht="15" hidden="false" customHeight="false" outlineLevel="0" collapsed="false">
      <c r="A71" s="35" t="s">
        <v>58</v>
      </c>
      <c r="B71" s="37" t="n">
        <f aca="false">SUMIFS(DIARIO!$F$2:$F$171,DIARIO!$B$2:$B$171,"MIXTO",DIARIO!$C$2:$C$171,$A71)</f>
        <v>1680</v>
      </c>
      <c r="C71" s="37" t="n">
        <f aca="false">B71*PARAMETROS!$B$7</f>
        <v>6300</v>
      </c>
      <c r="D71" s="19" t="n">
        <f aca="false">IFERROR(SUMIFS(DIARIO!$D$2:$D$171,DIARIO!$B$2:$B$171,"MIXTO",DIARIO!$C$2:$C$171,$A71)/B71,0)</f>
        <v>11690.0370892857</v>
      </c>
      <c r="E71" s="37" t="n">
        <f aca="false">SUMIFS(DIARIO!$G$2:$G$171,DIARIO!$B$2:$B$171,"MIXTO",DIARIO!$C$2:$C$171,$A71)</f>
        <v>785</v>
      </c>
      <c r="F71" s="37" t="n">
        <f aca="false">E71*PARAMETROS!$B$7</f>
        <v>2943.75</v>
      </c>
      <c r="G71" s="19" t="n">
        <f aca="false">IFERROR(SUMIFS(DIARIO!$D$2:$D$171,DIARIO!$B$2:$B$171,"MIXTO",DIARIO!$C$2:$C$171,$A71)/E71,0)</f>
        <v>25018.1685477707</v>
      </c>
      <c r="H71" s="37" t="n">
        <f aca="false">SUMIFS(DIARIO!$H$2:$H$171,DIARIO!$B$2:$B$171,"MIXTO",DIARIO!$C$2:$C$171,$A71)</f>
        <v>698</v>
      </c>
      <c r="I71" s="37" t="n">
        <f aca="false">H71*PARAMETROS!$B$7</f>
        <v>2617.5</v>
      </c>
      <c r="J71" s="19" t="n">
        <f aca="false">IFERROR(SUMIFS(DIARIO!$D$2:$D$171,DIARIO!$B$2:$B$171,"MIXTO",DIARIO!$C$2:$C$171,$A71)/H71,0)</f>
        <v>28136.4789541547</v>
      </c>
    </row>
    <row r="72" customFormat="false" ht="15" hidden="false" customHeight="false" outlineLevel="0" collapsed="false">
      <c r="A72" s="22" t="s">
        <v>60</v>
      </c>
      <c r="B72" s="38" t="n">
        <f aca="false">SUM(B69:B71)</f>
        <v>2195</v>
      </c>
      <c r="C72" s="38" t="n">
        <f aca="false">SUM(C69:C71)</f>
        <v>8231.25</v>
      </c>
      <c r="D72" s="23" t="n">
        <f aca="false">IFERROR(SUMIFS(DIARIO!$D$2:$D$171,DIARIO!$B$2:$B$171,"MIXTO")/B72,0)</f>
        <v>13812.5773676993</v>
      </c>
      <c r="E72" s="38" t="n">
        <f aca="false">SUM(E69:E71)</f>
        <v>990</v>
      </c>
      <c r="F72" s="38" t="n">
        <f aca="false">SUM(F69:F71)</f>
        <v>3712.5</v>
      </c>
      <c r="G72" s="23" t="n">
        <f aca="false">IFERROR(SUMIFS(DIARIO!$D$2:$D$171,DIARIO!$B$2:$B$171,"MIXTO")/E72,0)</f>
        <v>30624.8558809091</v>
      </c>
      <c r="H72" s="38" t="n">
        <f aca="false">SUM(H69:H71)</f>
        <v>838</v>
      </c>
      <c r="I72" s="38" t="n">
        <f aca="false">SUM(I69:I71)</f>
        <v>3142.5</v>
      </c>
      <c r="J72" s="23" t="n">
        <f aca="false">IFERROR(SUMIFS(DIARIO!$D$2:$D$171,DIARIO!$B$2:$B$171,"MIXTO")/H72,0)</f>
        <v>36179.7223414081</v>
      </c>
    </row>
    <row r="74" customFormat="false" ht="15" hidden="false" customHeight="false" outlineLevel="0" collapsed="false">
      <c r="A74" s="32" t="s">
        <v>78</v>
      </c>
      <c r="B74" s="32"/>
      <c r="C74" s="32"/>
      <c r="D74" s="32"/>
    </row>
    <row r="75" customFormat="false" ht="15" hidden="false" customHeight="false" outlineLevel="0" collapsed="false">
      <c r="A75" s="34" t="s">
        <v>79</v>
      </c>
      <c r="B75" s="34" t="s">
        <v>9</v>
      </c>
      <c r="C75" s="34" t="s">
        <v>80</v>
      </c>
      <c r="D75" s="34" t="s">
        <v>81</v>
      </c>
    </row>
    <row r="76" customFormat="false" ht="15" hidden="false" customHeight="false" outlineLevel="0" collapsed="false">
      <c r="A76" s="35" t="s">
        <v>82</v>
      </c>
      <c r="B76" s="19" t="n">
        <f aca="false">CURVA!B33</f>
        <v>644021673.9987</v>
      </c>
      <c r="C76" s="19" t="n">
        <f aca="false">CURVA!C33</f>
        <v>190083748.7876</v>
      </c>
      <c r="D76" s="20" t="n">
        <f aca="false">IFERROR(C76/B76,0)</f>
        <v>0.295151167207431</v>
      </c>
    </row>
    <row r="77" customFormat="false" ht="15" hidden="false" customHeight="false" outlineLevel="0" collapsed="false">
      <c r="A77" s="35" t="s">
        <v>83</v>
      </c>
      <c r="B77" s="19" t="n">
        <f aca="false">CURVA!B34</f>
        <v>644021673.9987</v>
      </c>
      <c r="C77" s="19" t="n">
        <f aca="false">CURVA!C34</f>
        <v>712814057.9535</v>
      </c>
      <c r="D77" s="20" t="n">
        <f aca="false">IFERROR(C77/B77,0)</f>
        <v>1.10681687702787</v>
      </c>
    </row>
    <row r="78" customFormat="false" ht="15" hidden="false" customHeight="false" outlineLevel="0" collapsed="false">
      <c r="A78" s="35" t="s">
        <v>84</v>
      </c>
      <c r="B78" s="21" t="n">
        <f aca="false">CURVA!E33</f>
        <v>56232.181778985</v>
      </c>
      <c r="C78" s="21" t="n">
        <f aca="false">CURVA!F33</f>
        <v>10091</v>
      </c>
      <c r="D78" s="20" t="n">
        <f aca="false">IFERROR(C78/B78,0)</f>
        <v>0.179452400400569</v>
      </c>
    </row>
    <row r="79" customFormat="false" ht="15" hidden="false" customHeight="false" outlineLevel="0" collapsed="false">
      <c r="A79" s="35" t="s">
        <v>85</v>
      </c>
      <c r="B79" s="21" t="n">
        <f aca="false">CURVA!E34</f>
        <v>56232.181778985</v>
      </c>
      <c r="C79" s="21" t="n">
        <f aca="false">CURVA!F34</f>
        <v>37841.25</v>
      </c>
      <c r="D79" s="20" t="n">
        <f aca="false">IFERROR(C79/B79,0)</f>
        <v>0.672946501502134</v>
      </c>
    </row>
    <row r="80" customFormat="false" ht="15" hidden="false" customHeight="false" outlineLevel="0" collapsed="false">
      <c r="A80" s="35" t="s">
        <v>86</v>
      </c>
      <c r="B80" s="19" t="n">
        <f aca="false">IFERROR(CURVA!B33/CURVA!E33,0)</f>
        <v>11452.9021215994</v>
      </c>
      <c r="C80" s="19" t="n">
        <f aca="false">CURVA!G33</f>
        <v>18836.9585559013</v>
      </c>
      <c r="D80" s="20" t="n">
        <f aca="false">IFERROR(C80/B80,0)</f>
        <v>1.64473234433533</v>
      </c>
    </row>
    <row r="81" customFormat="false" ht="15" hidden="false" customHeight="false" outlineLevel="0" collapsed="false">
      <c r="A81" s="35" t="s">
        <v>87</v>
      </c>
      <c r="B81" s="19" t="n">
        <f aca="false">IFERROR(CURVA!B34/CURVA!E34,0)</f>
        <v>11452.9021215994</v>
      </c>
      <c r="C81" s="19" t="n">
        <f aca="false">CURVA!G34</f>
        <v>18836.9585559013</v>
      </c>
      <c r="D81" s="20" t="n">
        <f aca="false">IFERROR(C81/B81,0)</f>
        <v>1.64473234433533</v>
      </c>
    </row>
  </sheetData>
  <mergeCells count="14">
    <mergeCell ref="A1:R1"/>
    <mergeCell ref="A4:F4"/>
    <mergeCell ref="H4:M4"/>
    <mergeCell ref="O4:R4"/>
    <mergeCell ref="A18:J18"/>
    <mergeCell ref="A32:F32"/>
    <mergeCell ref="H32:M32"/>
    <mergeCell ref="O32:R32"/>
    <mergeCell ref="A46:J46"/>
    <mergeCell ref="A60:F60"/>
    <mergeCell ref="H60:M60"/>
    <mergeCell ref="O60:R60"/>
    <mergeCell ref="A67:J67"/>
    <mergeCell ref="A74:D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4"/>
  </cols>
  <sheetData>
    <row r="1" customFormat="false" ht="15" hidden="false" customHeight="false" outlineLevel="0" collapsed="false">
      <c r="A1" s="39" t="s">
        <v>88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customFormat="false" ht="15" hidden="false" customHeight="false" outlineLevel="0" collapsed="false">
      <c r="A2" s="34" t="s">
        <v>89</v>
      </c>
      <c r="B2" s="34" t="s">
        <v>90</v>
      </c>
      <c r="C2" s="34" t="s">
        <v>91</v>
      </c>
      <c r="D2" s="34" t="s">
        <v>92</v>
      </c>
      <c r="E2" s="34" t="s">
        <v>93</v>
      </c>
      <c r="F2" s="34" t="s">
        <v>94</v>
      </c>
      <c r="G2" s="34" t="s">
        <v>31</v>
      </c>
      <c r="H2" s="34" t="s">
        <v>62</v>
      </c>
      <c r="I2" s="34" t="s">
        <v>64</v>
      </c>
      <c r="J2" s="34" t="s">
        <v>65</v>
      </c>
      <c r="K2" s="34" t="s">
        <v>32</v>
      </c>
      <c r="L2" s="34" t="s">
        <v>67</v>
      </c>
      <c r="M2" s="34" t="s">
        <v>33</v>
      </c>
      <c r="N2" s="34" t="s">
        <v>95</v>
      </c>
      <c r="O2" s="34" t="s">
        <v>96</v>
      </c>
      <c r="P2" s="34" t="s">
        <v>97</v>
      </c>
    </row>
    <row r="3" customFormat="false" ht="15" hidden="false" customHeight="false" outlineLevel="0" collapsed="false">
      <c r="A3" s="40" t="n">
        <v>46266</v>
      </c>
      <c r="B3" s="19" t="n">
        <f aca="false">SUMIFS(METAS_DIA!$D$2:$D$541,METAS_DIA!$A$2:$A$541,$A3,METAS_DIA!$B$2:$B$541,"&lt;&gt;MIXTO")</f>
        <v>27992912.34324</v>
      </c>
      <c r="C3" s="19" t="n">
        <f aca="false">SUMIFS(DIARIO!$D$2:$D$171,DIARIO!$A$2:$A$171,$A3,DIARIO!$B$2:$B$171,"&lt;&gt;MIXTO")</f>
        <v>24990255.5962</v>
      </c>
      <c r="D3" s="20" t="n">
        <f aca="false">IFERROR(C3/B3,0)</f>
        <v>0.892735107007717</v>
      </c>
      <c r="E3" s="21" t="n">
        <f aca="false">SUMIFS(METAS_DIA!$E$2:$E$541,METAS_DIA!$A$2:$A$541,$A3,METAS_DIA!$B$2:$B$541,"&lt;&gt;MIXTO")</f>
        <v>2440.023547095</v>
      </c>
      <c r="F3" s="21" t="n">
        <f aca="false">SUMIFS(DIARIO!$E$2:$E$171,DIARIO!$A$2:$A$171,$A3,DIARIO!$B$2:$B$171,"&lt;&gt;MIXTO")</f>
        <v>1075</v>
      </c>
      <c r="G3" s="19" t="n">
        <f aca="false">IFERROR(C3/F3,0)</f>
        <v>23246.749391814</v>
      </c>
      <c r="H3" s="37" t="n">
        <f aca="false">SUMIFS(DIARIO!$F$2:$F$171,DIARIO!$A$2:$A$171,$A3,DIARIO!$B$2:$B$171,"&lt;&gt;MIXTO")</f>
        <v>991</v>
      </c>
      <c r="I3" s="19" t="n">
        <f aca="false">IFERROR($C3/H3,0)</f>
        <v>25217.2104906155</v>
      </c>
      <c r="J3" s="37" t="n">
        <f aca="false">SUMIFS(DIARIO!$G$2:$G$171,DIARIO!$A$2:$A$171,$A3,DIARIO!$B$2:$B$171,"&lt;&gt;MIXTO")</f>
        <v>585</v>
      </c>
      <c r="K3" s="19" t="n">
        <f aca="false">IFERROR($C3/J3,0)</f>
        <v>42718.3856345299</v>
      </c>
      <c r="L3" s="37" t="n">
        <f aca="false">SUMIFS(DIARIO!$H$2:$H$171,DIARIO!$A$2:$A$171,$A3,DIARIO!$B$2:$B$171,"&lt;&gt;MIXTO")</f>
        <v>554</v>
      </c>
      <c r="M3" s="19" t="n">
        <f aca="false">IFERROR($C3/L3,0)</f>
        <v>45108.7646140794</v>
      </c>
      <c r="N3" s="19" t="n">
        <f aca="false">SUM($C$3:C3)</f>
        <v>24990255.5962</v>
      </c>
      <c r="O3" s="19" t="n">
        <f aca="false">SUM($B$3:B3)</f>
        <v>27992912.34324</v>
      </c>
      <c r="P3" s="20" t="n">
        <f aca="false">IFERROR(N3/O3,0)</f>
        <v>0.892735107007717</v>
      </c>
    </row>
    <row r="4" customFormat="false" ht="15" hidden="false" customHeight="false" outlineLevel="0" collapsed="false">
      <c r="A4" s="40" t="n">
        <v>46267</v>
      </c>
      <c r="B4" s="19" t="n">
        <f aca="false">SUMIFS(METAS_DIA!$D$2:$D$541,METAS_DIA!$A$2:$A$541,$A4,METAS_DIA!$B$2:$B$541,"&lt;&gt;MIXTO")</f>
        <v>25674561.57212</v>
      </c>
      <c r="C4" s="19" t="n">
        <f aca="false">SUMIFS(DIARIO!$D$2:$D$171,DIARIO!$A$2:$A$171,$A4,DIARIO!$B$2:$B$171,"&lt;&gt;MIXTO")</f>
        <v>25445741.7295</v>
      </c>
      <c r="D4" s="20" t="n">
        <f aca="false">IFERROR(C4/B4,0)</f>
        <v>0.991087682569486</v>
      </c>
      <c r="E4" s="21" t="n">
        <f aca="false">SUMIFS(METAS_DIA!$E$2:$E$541,METAS_DIA!$A$2:$A$541,$A4,METAS_DIA!$B$2:$B$541,"&lt;&gt;MIXTO")</f>
        <v>2249.388196104</v>
      </c>
      <c r="F4" s="21" t="n">
        <f aca="false">SUMIFS(DIARIO!$E$2:$E$171,DIARIO!$A$2:$A$171,$A4,DIARIO!$B$2:$B$171,"&lt;&gt;MIXTO")</f>
        <v>1470</v>
      </c>
      <c r="G4" s="19" t="n">
        <f aca="false">IFERROR(C4/F4,0)</f>
        <v>17310.028387415</v>
      </c>
      <c r="H4" s="37" t="n">
        <f aca="false">SUMIFS(DIARIO!$F$2:$F$171,DIARIO!$A$2:$A$171,$A4,DIARIO!$B$2:$B$171,"&lt;&gt;MIXTO")</f>
        <v>1230</v>
      </c>
      <c r="I4" s="19" t="n">
        <f aca="false">IFERROR($C4/H4,0)</f>
        <v>20687.5949020325</v>
      </c>
      <c r="J4" s="37" t="n">
        <f aca="false">SUMIFS(DIARIO!$G$2:$G$171,DIARIO!$A$2:$A$171,$A4,DIARIO!$B$2:$B$171,"&lt;&gt;MIXTO")</f>
        <v>596</v>
      </c>
      <c r="K4" s="19" t="n">
        <f aca="false">IFERROR($C4/J4,0)</f>
        <v>42694.1975327181</v>
      </c>
      <c r="L4" s="37" t="n">
        <f aca="false">SUMIFS(DIARIO!$H$2:$H$171,DIARIO!$A$2:$A$171,$A4,DIARIO!$B$2:$B$171,"&lt;&gt;MIXTO")</f>
        <v>534</v>
      </c>
      <c r="M4" s="19" t="n">
        <f aca="false">IFERROR($C4/L4,0)</f>
        <v>47651.2017406367</v>
      </c>
      <c r="N4" s="19" t="n">
        <f aca="false">SUM($C$3:C4)</f>
        <v>50435997.3257</v>
      </c>
      <c r="O4" s="19" t="n">
        <f aca="false">SUM($B$3:B4)</f>
        <v>53667473.91536</v>
      </c>
      <c r="P4" s="20" t="n">
        <f aca="false">IFERROR(N4/O4,0)</f>
        <v>0.939787056220376</v>
      </c>
    </row>
    <row r="5" customFormat="false" ht="15" hidden="false" customHeight="false" outlineLevel="0" collapsed="false">
      <c r="A5" s="40" t="n">
        <v>46268</v>
      </c>
      <c r="B5" s="19" t="n">
        <f aca="false">SUMIFS(METAS_DIA!$D$2:$D$541,METAS_DIA!$A$2:$A$541,$A5,METAS_DIA!$B$2:$B$541,"&lt;&gt;MIXTO")</f>
        <v>24248893.41361</v>
      </c>
      <c r="C5" s="19" t="n">
        <f aca="false">SUMIFS(DIARIO!$D$2:$D$171,DIARIO!$A$2:$A$171,$A5,DIARIO!$B$2:$B$171,"&lt;&gt;MIXTO")</f>
        <v>23523116.3752</v>
      </c>
      <c r="D5" s="20" t="n">
        <f aca="false">IFERROR(C5/B5,0)</f>
        <v>0.970069684169479</v>
      </c>
      <c r="E5" s="21" t="n">
        <f aca="false">SUMIFS(METAS_DIA!$E$2:$E$541,METAS_DIA!$A$2:$A$541,$A5,METAS_DIA!$B$2:$B$541,"&lt;&gt;MIXTO")</f>
        <v>2113.341898569</v>
      </c>
      <c r="F5" s="21" t="n">
        <f aca="false">SUMIFS(DIARIO!$E$2:$E$171,DIARIO!$A$2:$A$171,$A5,DIARIO!$B$2:$B$171,"&lt;&gt;MIXTO")</f>
        <v>1470</v>
      </c>
      <c r="G5" s="19" t="n">
        <f aca="false">IFERROR(C5/F5,0)</f>
        <v>16002.1199831293</v>
      </c>
      <c r="H5" s="37" t="n">
        <f aca="false">SUMIFS(DIARIO!$F$2:$F$171,DIARIO!$A$2:$A$171,$A5,DIARIO!$B$2:$B$171,"&lt;&gt;MIXTO")</f>
        <v>1113</v>
      </c>
      <c r="I5" s="19" t="n">
        <f aca="false">IFERROR($C5/H5,0)</f>
        <v>21134.875449416</v>
      </c>
      <c r="J5" s="37" t="n">
        <f aca="false">SUMIFS(DIARIO!$G$2:$G$171,DIARIO!$A$2:$A$171,$A5,DIARIO!$B$2:$B$171,"&lt;&gt;MIXTO")</f>
        <v>608</v>
      </c>
      <c r="K5" s="19" t="n">
        <f aca="false">IFERROR($C5/J5,0)</f>
        <v>38689.3361434211</v>
      </c>
      <c r="L5" s="37" t="n">
        <f aca="false">SUMIFS(DIARIO!$H$2:$H$171,DIARIO!$A$2:$A$171,$A5,DIARIO!$B$2:$B$171,"&lt;&gt;MIXTO")</f>
        <v>469</v>
      </c>
      <c r="M5" s="19" t="n">
        <f aca="false">IFERROR($C5/L5,0)</f>
        <v>50155.8984545842</v>
      </c>
      <c r="N5" s="19" t="n">
        <f aca="false">SUM($C$3:C5)</f>
        <v>73959113.7009</v>
      </c>
      <c r="O5" s="19" t="n">
        <f aca="false">SUM($B$3:B5)</f>
        <v>77916367.32897</v>
      </c>
      <c r="P5" s="20" t="n">
        <f aca="false">IFERROR(N5/O5,0)</f>
        <v>0.949211523024911</v>
      </c>
    </row>
    <row r="6" customFormat="false" ht="15" hidden="false" customHeight="false" outlineLevel="0" collapsed="false">
      <c r="A6" s="40" t="n">
        <v>46269</v>
      </c>
      <c r="B6" s="19" t="n">
        <f aca="false">SUMIFS(METAS_DIA!$D$2:$D$541,METAS_DIA!$A$2:$A$541,$A6,METAS_DIA!$B$2:$B$541,"&lt;&gt;MIXTO")</f>
        <v>22442932.52493</v>
      </c>
      <c r="C6" s="19" t="n">
        <f aca="false">SUMIFS(DIARIO!$D$2:$D$171,DIARIO!$A$2:$A$171,$A6,DIARIO!$B$2:$B$171,"&lt;&gt;MIXTO")</f>
        <v>22722905.6883</v>
      </c>
      <c r="D6" s="20" t="n">
        <f aca="false">IFERROR(C6/B6,0)</f>
        <v>1.01247489217637</v>
      </c>
      <c r="E6" s="21" t="n">
        <f aca="false">SUMIFS(METAS_DIA!$E$2:$E$541,METAS_DIA!$A$2:$A$541,$A6,METAS_DIA!$B$2:$B$541,"&lt;&gt;MIXTO")</f>
        <v>1958.759017184</v>
      </c>
      <c r="F6" s="21" t="n">
        <f aca="false">SUMIFS(DIARIO!$E$2:$E$171,DIARIO!$A$2:$A$171,$A6,DIARIO!$B$2:$B$171,"&lt;&gt;MIXTO")</f>
        <v>1300</v>
      </c>
      <c r="G6" s="19" t="n">
        <f aca="false">IFERROR(C6/F6,0)</f>
        <v>17479.1582217692</v>
      </c>
      <c r="H6" s="37" t="n">
        <f aca="false">SUMIFS(DIARIO!$F$2:$F$171,DIARIO!$A$2:$A$171,$A6,DIARIO!$B$2:$B$171,"&lt;&gt;MIXTO")</f>
        <v>984</v>
      </c>
      <c r="I6" s="19" t="n">
        <f aca="false">IFERROR($C6/H6,0)</f>
        <v>23092.3838295732</v>
      </c>
      <c r="J6" s="37" t="n">
        <f aca="false">SUMIFS(DIARIO!$G$2:$G$171,DIARIO!$A$2:$A$171,$A6,DIARIO!$B$2:$B$171,"&lt;&gt;MIXTO")</f>
        <v>482</v>
      </c>
      <c r="K6" s="19" t="n">
        <f aca="false">IFERROR($C6/J6,0)</f>
        <v>47142.9578595436</v>
      </c>
      <c r="L6" s="37" t="n">
        <f aca="false">SUMIFS(DIARIO!$H$2:$H$171,DIARIO!$A$2:$A$171,$A6,DIARIO!$B$2:$B$171,"&lt;&gt;MIXTO")</f>
        <v>498</v>
      </c>
      <c r="M6" s="19" t="n">
        <f aca="false">IFERROR($C6/L6,0)</f>
        <v>45628.3246753012</v>
      </c>
      <c r="N6" s="19" t="n">
        <f aca="false">SUM($C$3:C6)</f>
        <v>96682019.3892</v>
      </c>
      <c r="O6" s="19" t="n">
        <f aca="false">SUM($B$3:B6)</f>
        <v>100359299.8539</v>
      </c>
      <c r="P6" s="20" t="n">
        <f aca="false">IFERROR(N6/O6,0)</f>
        <v>0.963358846962332</v>
      </c>
    </row>
    <row r="7" customFormat="false" ht="15" hidden="false" customHeight="false" outlineLevel="0" collapsed="false">
      <c r="A7" s="40" t="n">
        <v>46270</v>
      </c>
      <c r="B7" s="19" t="n">
        <f aca="false">SUMIFS(METAS_DIA!$D$2:$D$541,METAS_DIA!$A$2:$A$541,$A7,METAS_DIA!$B$2:$B$541,"&lt;&gt;MIXTO")</f>
        <v>15425843.28004</v>
      </c>
      <c r="C7" s="19" t="n">
        <f aca="false">SUMIFS(DIARIO!$D$2:$D$171,DIARIO!$A$2:$A$171,$A7,DIARIO!$B$2:$B$171,"&lt;&gt;MIXTO")</f>
        <v>21181513.4144</v>
      </c>
      <c r="D7" s="20" t="n">
        <f aca="false">IFERROR(C7/B7,0)</f>
        <v>1.37311867039434</v>
      </c>
      <c r="E7" s="21" t="n">
        <f aca="false">SUMIFS(METAS_DIA!$E$2:$E$541,METAS_DIA!$A$2:$A$541,$A7,METAS_DIA!$B$2:$B$541,"&lt;&gt;MIXTO")</f>
        <v>1342.823215411</v>
      </c>
      <c r="F7" s="21" t="n">
        <f aca="false">SUMIFS(DIARIO!$E$2:$E$171,DIARIO!$A$2:$A$171,$A7,DIARIO!$B$2:$B$171,"&lt;&gt;MIXTO")</f>
        <v>897</v>
      </c>
      <c r="G7" s="19" t="n">
        <f aca="false">IFERROR(C7/F7,0)</f>
        <v>23613.72732932</v>
      </c>
      <c r="H7" s="37" t="n">
        <f aca="false">SUMIFS(DIARIO!$F$2:$F$171,DIARIO!$A$2:$A$171,$A7,DIARIO!$B$2:$B$171,"&lt;&gt;MIXTO")</f>
        <v>610</v>
      </c>
      <c r="I7" s="19" t="n">
        <f aca="false">IFERROR($C7/H7,0)</f>
        <v>34723.792482623</v>
      </c>
      <c r="J7" s="37" t="n">
        <f aca="false">SUMIFS(DIARIO!$G$2:$G$171,DIARIO!$A$2:$A$171,$A7,DIARIO!$B$2:$B$171,"&lt;&gt;MIXTO")</f>
        <v>294</v>
      </c>
      <c r="K7" s="19" t="n">
        <f aca="false">IFERROR($C7/J7,0)</f>
        <v>72045.9639945578</v>
      </c>
      <c r="L7" s="37" t="n">
        <f aca="false">SUMIFS(DIARIO!$H$2:$H$171,DIARIO!$A$2:$A$171,$A7,DIARIO!$B$2:$B$171,"&lt;&gt;MIXTO")</f>
        <v>379</v>
      </c>
      <c r="M7" s="19" t="n">
        <f aca="false">IFERROR($C7/L7,0)</f>
        <v>55887.898191029</v>
      </c>
      <c r="N7" s="19" t="n">
        <f aca="false">SUM($C$3:C7)</f>
        <v>117863532.8036</v>
      </c>
      <c r="O7" s="19" t="n">
        <f aca="false">SUM($B$3:B7)</f>
        <v>115785143.13394</v>
      </c>
      <c r="P7" s="20" t="n">
        <f aca="false">IFERROR(N7/O7,0)</f>
        <v>1.01795040031393</v>
      </c>
    </row>
    <row r="8" customFormat="false" ht="15" hidden="false" customHeight="false" outlineLevel="0" collapsed="false">
      <c r="A8" s="40" t="n">
        <v>46271</v>
      </c>
      <c r="B8" s="19" t="n">
        <f aca="false">SUMIFS(METAS_DIA!$D$2:$D$541,METAS_DIA!$A$2:$A$541,$A8,METAS_DIA!$B$2:$B$541,"&lt;&gt;MIXTO")</f>
        <v>14528465.80371</v>
      </c>
      <c r="C8" s="19" t="n">
        <f aca="false">SUMIFS(DIARIO!$D$2:$D$171,DIARIO!$A$2:$A$171,$A8,DIARIO!$B$2:$B$171,"&lt;&gt;MIXTO")</f>
        <v>17335465.2083</v>
      </c>
      <c r="D8" s="20" t="n">
        <f aca="false">IFERROR(C8/B8,0)</f>
        <v>1.19320687005184</v>
      </c>
      <c r="E8" s="21" t="n">
        <f aca="false">SUMIFS(METAS_DIA!$E$2:$E$541,METAS_DIA!$A$2:$A$541,$A8,METAS_DIA!$B$2:$B$541,"&lt;&gt;MIXTO")</f>
        <v>1271.834722201</v>
      </c>
      <c r="F8" s="21" t="n">
        <f aca="false">SUMIFS(DIARIO!$E$2:$E$171,DIARIO!$A$2:$A$171,$A8,DIARIO!$B$2:$B$171,"&lt;&gt;MIXTO")</f>
        <v>840</v>
      </c>
      <c r="G8" s="19" t="n">
        <f aca="false">IFERROR(C8/F8,0)</f>
        <v>20637.4585813095</v>
      </c>
      <c r="H8" s="37" t="n">
        <f aca="false">SUMIFS(DIARIO!$F$2:$F$171,DIARIO!$A$2:$A$171,$A8,DIARIO!$B$2:$B$171,"&lt;&gt;MIXTO")</f>
        <v>526</v>
      </c>
      <c r="I8" s="19" t="n">
        <f aca="false">IFERROR($C8/H8,0)</f>
        <v>32957.1581906844</v>
      </c>
      <c r="J8" s="37" t="n">
        <f aca="false">SUMIFS(DIARIO!$G$2:$G$171,DIARIO!$A$2:$A$171,$A8,DIARIO!$B$2:$B$171,"&lt;&gt;MIXTO")</f>
        <v>251</v>
      </c>
      <c r="K8" s="19" t="n">
        <f aca="false">IFERROR($C8/J8,0)</f>
        <v>69065.5984394422</v>
      </c>
      <c r="L8" s="37" t="n">
        <f aca="false">SUMIFS(DIARIO!$H$2:$H$171,DIARIO!$A$2:$A$171,$A8,DIARIO!$B$2:$B$171,"&lt;&gt;MIXTO")</f>
        <v>19</v>
      </c>
      <c r="M8" s="19" t="n">
        <f aca="false">IFERROR($C8/L8,0)</f>
        <v>912392.9057</v>
      </c>
      <c r="N8" s="19" t="n">
        <f aca="false">SUM($C$3:C8)</f>
        <v>135198998.0119</v>
      </c>
      <c r="O8" s="19" t="n">
        <f aca="false">SUM($B$3:B8)</f>
        <v>130313608.93765</v>
      </c>
      <c r="P8" s="20" t="n">
        <f aca="false">IFERROR(N8/O8,0)</f>
        <v>1.03748947722404</v>
      </c>
    </row>
    <row r="9" customFormat="false" ht="15" hidden="false" customHeight="false" outlineLevel="0" collapsed="false">
      <c r="A9" s="40" t="n">
        <v>46272</v>
      </c>
      <c r="B9" s="19" t="n">
        <f aca="false">SUMIFS(METAS_DIA!$D$2:$D$541,METAS_DIA!$A$2:$A$541,$A9,METAS_DIA!$B$2:$B$541,"&lt;&gt;MIXTO")</f>
        <v>32903879.7646</v>
      </c>
      <c r="C9" s="19" t="n">
        <f aca="false">SUMIFS(DIARIO!$D$2:$D$171,DIARIO!$A$2:$A$171,$A9,DIARIO!$B$2:$B$171,"&lt;&gt;MIXTO")</f>
        <v>28882765.172</v>
      </c>
      <c r="D9" s="20" t="n">
        <f aca="false">IFERROR(C9/B9,0)</f>
        <v>0.877792083445243</v>
      </c>
      <c r="E9" s="21" t="n">
        <f aca="false">SUMIFS(METAS_DIA!$E$2:$E$541,METAS_DIA!$A$2:$A$541,$A9,METAS_DIA!$B$2:$B$541,"&lt;&gt;MIXTO")</f>
        <v>2864.361220488</v>
      </c>
      <c r="F9" s="21" t="n">
        <f aca="false">SUMIFS(DIARIO!$E$2:$E$171,DIARIO!$A$2:$A$171,$A9,DIARIO!$B$2:$B$171,"&lt;&gt;MIXTO")</f>
        <v>1593</v>
      </c>
      <c r="G9" s="19" t="n">
        <f aca="false">IFERROR(C9/F9,0)</f>
        <v>18131.0515831764</v>
      </c>
      <c r="H9" s="37" t="n">
        <f aca="false">SUMIFS(DIARIO!$F$2:$F$171,DIARIO!$A$2:$A$171,$A9,DIARIO!$B$2:$B$171,"&lt;&gt;MIXTO")</f>
        <v>1246</v>
      </c>
      <c r="I9" s="19" t="n">
        <f aca="false">IFERROR($C9/H9,0)</f>
        <v>23180.3893836276</v>
      </c>
      <c r="J9" s="37" t="n">
        <f aca="false">SUMIFS(DIARIO!$G$2:$G$171,DIARIO!$A$2:$A$171,$A9,DIARIO!$B$2:$B$171,"&lt;&gt;MIXTO")</f>
        <v>653</v>
      </c>
      <c r="K9" s="19" t="n">
        <f aca="false">IFERROR($C9/J9,0)</f>
        <v>44230.8808147014</v>
      </c>
      <c r="L9" s="37" t="n">
        <f aca="false">SUMIFS(DIARIO!$H$2:$H$171,DIARIO!$A$2:$A$171,$A9,DIARIO!$B$2:$B$171,"&lt;&gt;MIXTO")</f>
        <v>460</v>
      </c>
      <c r="M9" s="19" t="n">
        <f aca="false">IFERROR($C9/L9,0)</f>
        <v>62788.6199391304</v>
      </c>
      <c r="N9" s="19" t="n">
        <f aca="false">SUM($C$3:C9)</f>
        <v>164081763.1839</v>
      </c>
      <c r="O9" s="19" t="n">
        <f aca="false">SUM($B$3:B9)</f>
        <v>163217488.70225</v>
      </c>
      <c r="P9" s="20" t="n">
        <f aca="false">IFERROR(N9/O9,0)</f>
        <v>1.00529523207667</v>
      </c>
    </row>
    <row r="10" customFormat="false" ht="15" hidden="false" customHeight="false" outlineLevel="0" collapsed="false">
      <c r="A10" s="40" t="n">
        <v>46273</v>
      </c>
      <c r="B10" s="19" t="n">
        <f aca="false">SUMIFS(METAS_DIA!$D$2:$D$541,METAS_DIA!$A$2:$A$541,$A10,METAS_DIA!$B$2:$B$541,"&lt;&gt;MIXTO")</f>
        <v>27656664.70973</v>
      </c>
      <c r="C10" s="19" t="n">
        <f aca="false">SUMIFS(DIARIO!$D$2:$D$171,DIARIO!$A$2:$A$171,$A10,DIARIO!$B$2:$B$171,"&lt;&gt;MIXTO")</f>
        <v>26001985.6037</v>
      </c>
      <c r="D10" s="20" t="n">
        <f aca="false">IFERROR(C10/B10,0)</f>
        <v>0.940170692185893</v>
      </c>
      <c r="E10" s="21" t="n">
        <f aca="false">SUMIFS(METAS_DIA!$E$2:$E$541,METAS_DIA!$A$2:$A$541,$A10,METAS_DIA!$B$2:$B$541,"&lt;&gt;MIXTO")</f>
        <v>2408.253797722</v>
      </c>
      <c r="F10" s="21" t="n">
        <f aca="false">SUMIFS(DIARIO!$E$2:$E$171,DIARIO!$A$2:$A$171,$A10,DIARIO!$B$2:$B$171,"&lt;&gt;MIXTO")</f>
        <v>1446</v>
      </c>
      <c r="G10" s="19" t="n">
        <f aca="false">IFERROR(C10/F10,0)</f>
        <v>17982.0094078147</v>
      </c>
      <c r="H10" s="37" t="n">
        <f aca="false">SUMIFS(DIARIO!$F$2:$F$171,DIARIO!$A$2:$A$171,$A10,DIARIO!$B$2:$B$171,"&lt;&gt;MIXTO")</f>
        <v>1302</v>
      </c>
      <c r="I10" s="19" t="n">
        <f aca="false">IFERROR($C10/H10,0)</f>
        <v>19970.8030750384</v>
      </c>
      <c r="J10" s="37" t="n">
        <f aca="false">SUMIFS(DIARIO!$G$2:$G$171,DIARIO!$A$2:$A$171,$A10,DIARIO!$B$2:$B$171,"&lt;&gt;MIXTO")</f>
        <v>619</v>
      </c>
      <c r="K10" s="19" t="n">
        <f aca="false">IFERROR($C10/J10,0)</f>
        <v>42006.4387781906</v>
      </c>
      <c r="L10" s="37" t="n">
        <f aca="false">SUMIFS(DIARIO!$H$2:$H$171,DIARIO!$A$2:$A$171,$A10,DIARIO!$B$2:$B$171,"&lt;&gt;MIXTO")</f>
        <v>512</v>
      </c>
      <c r="M10" s="19" t="n">
        <f aca="false">IFERROR($C10/L10,0)</f>
        <v>50785.1281322266</v>
      </c>
      <c r="N10" s="19" t="n">
        <f aca="false">SUM($C$3:C10)</f>
        <v>190083748.7876</v>
      </c>
      <c r="O10" s="19" t="n">
        <f aca="false">SUM($B$3:B10)</f>
        <v>190874153.41198</v>
      </c>
      <c r="P10" s="20" t="n">
        <f aca="false">IFERROR(N10/O10,0)</f>
        <v>0.995859027478309</v>
      </c>
    </row>
    <row r="11" customFormat="false" ht="15" hidden="false" customHeight="false" outlineLevel="0" collapsed="false">
      <c r="A11" s="40" t="n">
        <v>46274</v>
      </c>
      <c r="B11" s="19" t="n">
        <f aca="false">SUMIFS(METAS_DIA!$D$2:$D$541,METAS_DIA!$A$2:$A$541,$A11,METAS_DIA!$B$2:$B$541,"&lt;&gt;MIXTO")</f>
        <v>25195649.75672</v>
      </c>
      <c r="C11" s="19" t="n">
        <f aca="false">SUMIFS(DIARIO!$D$2:$D$171,DIARIO!$A$2:$A$171,$A11,DIARIO!$B$2:$B$171,"&lt;&gt;MIXTO")</f>
        <v>0</v>
      </c>
      <c r="D11" s="20" t="n">
        <f aca="false">IFERROR(C11/B11,0)</f>
        <v>0</v>
      </c>
      <c r="E11" s="21" t="n">
        <f aca="false">SUMIFS(METAS_DIA!$E$2:$E$541,METAS_DIA!$A$2:$A$541,$A11,METAS_DIA!$B$2:$B$541,"&lt;&gt;MIXTO")</f>
        <v>2203.402909168</v>
      </c>
      <c r="F11" s="21" t="n">
        <f aca="false">SUMIFS(DIARIO!$E$2:$E$171,DIARIO!$A$2:$A$171,$A11,DIARIO!$B$2:$B$171,"&lt;&gt;MIXTO")</f>
        <v>0</v>
      </c>
      <c r="G11" s="19" t="n">
        <f aca="false">IFERROR(C11/F11,0)</f>
        <v>0</v>
      </c>
      <c r="H11" s="37" t="n">
        <f aca="false">SUMIFS(DIARIO!$F$2:$F$171,DIARIO!$A$2:$A$171,$A11,DIARIO!$B$2:$B$171,"&lt;&gt;MIXTO")</f>
        <v>0</v>
      </c>
      <c r="I11" s="19" t="n">
        <f aca="false">IFERROR($C11/H11,0)</f>
        <v>0</v>
      </c>
      <c r="J11" s="37" t="n">
        <f aca="false">SUMIFS(DIARIO!$G$2:$G$171,DIARIO!$A$2:$A$171,$A11,DIARIO!$B$2:$B$171,"&lt;&gt;MIXTO")</f>
        <v>0</v>
      </c>
      <c r="K11" s="19" t="n">
        <f aca="false">IFERROR($C11/J11,0)</f>
        <v>0</v>
      </c>
      <c r="L11" s="37" t="n">
        <f aca="false">SUMIFS(DIARIO!$H$2:$H$171,DIARIO!$A$2:$A$171,$A11,DIARIO!$B$2:$B$171,"&lt;&gt;MIXTO")</f>
        <v>0</v>
      </c>
      <c r="M11" s="19" t="n">
        <f aca="false">IFERROR($C11/L11,0)</f>
        <v>0</v>
      </c>
      <c r="N11" s="19" t="n">
        <f aca="false">SUM($C$3:C11)</f>
        <v>190083748.7876</v>
      </c>
      <c r="O11" s="19" t="n">
        <f aca="false">SUM($B$3:B11)</f>
        <v>216069803.1687</v>
      </c>
      <c r="P11" s="20" t="n">
        <f aca="false">IFERROR(N11/O11,0)</f>
        <v>0.879733058483832</v>
      </c>
    </row>
    <row r="12" customFormat="false" ht="15" hidden="false" customHeight="false" outlineLevel="0" collapsed="false">
      <c r="A12" s="40" t="n">
        <v>46275</v>
      </c>
      <c r="B12" s="19" t="n">
        <f aca="false">SUMIFS(METAS_DIA!$D$2:$D$541,METAS_DIA!$A$2:$A$541,$A12,METAS_DIA!$B$2:$B$541,"&lt;&gt;MIXTO")</f>
        <v>23981946.44831</v>
      </c>
      <c r="C12" s="19" t="n">
        <f aca="false">SUMIFS(DIARIO!$D$2:$D$171,DIARIO!$A$2:$A$171,$A12,DIARIO!$B$2:$B$171,"&lt;&gt;MIXTO")</f>
        <v>0</v>
      </c>
      <c r="D12" s="20" t="n">
        <f aca="false">IFERROR(C12/B12,0)</f>
        <v>0</v>
      </c>
      <c r="E12" s="21" t="n">
        <f aca="false">SUMIFS(METAS_DIA!$E$2:$E$541,METAS_DIA!$A$2:$A$541,$A12,METAS_DIA!$B$2:$B$541,"&lt;&gt;MIXTO")</f>
        <v>2088.088358268</v>
      </c>
      <c r="F12" s="21" t="n">
        <f aca="false">SUMIFS(DIARIO!$E$2:$E$171,DIARIO!$A$2:$A$171,$A12,DIARIO!$B$2:$B$171,"&lt;&gt;MIXTO")</f>
        <v>0</v>
      </c>
      <c r="G12" s="19" t="n">
        <f aca="false">IFERROR(C12/F12,0)</f>
        <v>0</v>
      </c>
      <c r="H12" s="37" t="n">
        <f aca="false">SUMIFS(DIARIO!$F$2:$F$171,DIARIO!$A$2:$A$171,$A12,DIARIO!$B$2:$B$171,"&lt;&gt;MIXTO")</f>
        <v>0</v>
      </c>
      <c r="I12" s="19" t="n">
        <f aca="false">IFERROR($C12/H12,0)</f>
        <v>0</v>
      </c>
      <c r="J12" s="37" t="n">
        <f aca="false">SUMIFS(DIARIO!$G$2:$G$171,DIARIO!$A$2:$A$171,$A12,DIARIO!$B$2:$B$171,"&lt;&gt;MIXTO")</f>
        <v>0</v>
      </c>
      <c r="K12" s="19" t="n">
        <f aca="false">IFERROR($C12/J12,0)</f>
        <v>0</v>
      </c>
      <c r="L12" s="37" t="n">
        <f aca="false">SUMIFS(DIARIO!$H$2:$H$171,DIARIO!$A$2:$A$171,$A12,DIARIO!$B$2:$B$171,"&lt;&gt;MIXTO")</f>
        <v>0</v>
      </c>
      <c r="M12" s="19" t="n">
        <f aca="false">IFERROR($C12/L12,0)</f>
        <v>0</v>
      </c>
      <c r="N12" s="19" t="n">
        <f aca="false">SUM($C$3:C12)</f>
        <v>190083748.7876</v>
      </c>
      <c r="O12" s="19" t="n">
        <f aca="false">SUM($B$3:B12)</f>
        <v>240051749.61701</v>
      </c>
      <c r="P12" s="20" t="n">
        <f aca="false">IFERROR(N12/O12,0)</f>
        <v>0.791844879659776</v>
      </c>
    </row>
    <row r="13" customFormat="false" ht="15" hidden="false" customHeight="false" outlineLevel="0" collapsed="false">
      <c r="A13" s="40" t="n">
        <v>46276</v>
      </c>
      <c r="B13" s="19" t="n">
        <f aca="false">SUMIFS(METAS_DIA!$D$2:$D$541,METAS_DIA!$A$2:$A$541,$A13,METAS_DIA!$B$2:$B$541,"&lt;&gt;MIXTO")</f>
        <v>22112147.55078</v>
      </c>
      <c r="C13" s="19" t="n">
        <f aca="false">SUMIFS(DIARIO!$D$2:$D$171,DIARIO!$A$2:$A$171,$A13,DIARIO!$B$2:$B$171,"&lt;&gt;MIXTO")</f>
        <v>0</v>
      </c>
      <c r="D13" s="20" t="n">
        <f aca="false">IFERROR(C13/B13,0)</f>
        <v>0</v>
      </c>
      <c r="E13" s="21" t="n">
        <f aca="false">SUMIFS(METAS_DIA!$E$2:$E$541,METAS_DIA!$A$2:$A$541,$A13,METAS_DIA!$B$2:$B$541,"&lt;&gt;MIXTO")</f>
        <v>1927.249056381</v>
      </c>
      <c r="F13" s="21" t="n">
        <f aca="false">SUMIFS(DIARIO!$E$2:$E$171,DIARIO!$A$2:$A$171,$A13,DIARIO!$B$2:$B$171,"&lt;&gt;MIXTO")</f>
        <v>0</v>
      </c>
      <c r="G13" s="19" t="n">
        <f aca="false">IFERROR(C13/F13,0)</f>
        <v>0</v>
      </c>
      <c r="H13" s="37" t="n">
        <f aca="false">SUMIFS(DIARIO!$F$2:$F$171,DIARIO!$A$2:$A$171,$A13,DIARIO!$B$2:$B$171,"&lt;&gt;MIXTO")</f>
        <v>0</v>
      </c>
      <c r="I13" s="19" t="n">
        <f aca="false">IFERROR($C13/H13,0)</f>
        <v>0</v>
      </c>
      <c r="J13" s="37" t="n">
        <f aca="false">SUMIFS(DIARIO!$G$2:$G$171,DIARIO!$A$2:$A$171,$A13,DIARIO!$B$2:$B$171,"&lt;&gt;MIXTO")</f>
        <v>0</v>
      </c>
      <c r="K13" s="19" t="n">
        <f aca="false">IFERROR($C13/J13,0)</f>
        <v>0</v>
      </c>
      <c r="L13" s="37" t="n">
        <f aca="false">SUMIFS(DIARIO!$H$2:$H$171,DIARIO!$A$2:$A$171,$A13,DIARIO!$B$2:$B$171,"&lt;&gt;MIXTO")</f>
        <v>0</v>
      </c>
      <c r="M13" s="19" t="n">
        <f aca="false">IFERROR($C13/L13,0)</f>
        <v>0</v>
      </c>
      <c r="N13" s="19" t="n">
        <f aca="false">SUM($C$3:C13)</f>
        <v>190083748.7876</v>
      </c>
      <c r="O13" s="19" t="n">
        <f aca="false">SUM($B$3:B13)</f>
        <v>262163897.16779</v>
      </c>
      <c r="P13" s="20" t="n">
        <f aca="false">IFERROR(N13/O13,0)</f>
        <v>0.72505692370732</v>
      </c>
    </row>
    <row r="14" customFormat="false" ht="15" hidden="false" customHeight="false" outlineLevel="0" collapsed="false">
      <c r="A14" s="40" t="n">
        <v>46277</v>
      </c>
      <c r="B14" s="19" t="n">
        <f aca="false">SUMIFS(METAS_DIA!$D$2:$D$541,METAS_DIA!$A$2:$A$541,$A14,METAS_DIA!$B$2:$B$541,"&lt;&gt;MIXTO")</f>
        <v>15202280.05875</v>
      </c>
      <c r="C14" s="19" t="n">
        <f aca="false">SUMIFS(DIARIO!$D$2:$D$171,DIARIO!$A$2:$A$171,$A14,DIARIO!$B$2:$B$171,"&lt;&gt;MIXTO")</f>
        <v>0</v>
      </c>
      <c r="D14" s="20" t="n">
        <f aca="false">IFERROR(C14/B14,0)</f>
        <v>0</v>
      </c>
      <c r="E14" s="21" t="n">
        <f aca="false">SUMIFS(METAS_DIA!$E$2:$E$541,METAS_DIA!$A$2:$A$541,$A14,METAS_DIA!$B$2:$B$541,"&lt;&gt;MIXTO")</f>
        <v>1321.518650041</v>
      </c>
      <c r="F14" s="21" t="n">
        <f aca="false">SUMIFS(DIARIO!$E$2:$E$171,DIARIO!$A$2:$A$171,$A14,DIARIO!$B$2:$B$171,"&lt;&gt;MIXTO")</f>
        <v>0</v>
      </c>
      <c r="G14" s="19" t="n">
        <f aca="false">IFERROR(C14/F14,0)</f>
        <v>0</v>
      </c>
      <c r="H14" s="37" t="n">
        <f aca="false">SUMIFS(DIARIO!$F$2:$F$171,DIARIO!$A$2:$A$171,$A14,DIARIO!$B$2:$B$171,"&lt;&gt;MIXTO")</f>
        <v>0</v>
      </c>
      <c r="I14" s="19" t="n">
        <f aca="false">IFERROR($C14/H14,0)</f>
        <v>0</v>
      </c>
      <c r="J14" s="37" t="n">
        <f aca="false">SUMIFS(DIARIO!$G$2:$G$171,DIARIO!$A$2:$A$171,$A14,DIARIO!$B$2:$B$171,"&lt;&gt;MIXTO")</f>
        <v>0</v>
      </c>
      <c r="K14" s="19" t="n">
        <f aca="false">IFERROR($C14/J14,0)</f>
        <v>0</v>
      </c>
      <c r="L14" s="37" t="n">
        <f aca="false">SUMIFS(DIARIO!$H$2:$H$171,DIARIO!$A$2:$A$171,$A14,DIARIO!$B$2:$B$171,"&lt;&gt;MIXTO")</f>
        <v>0</v>
      </c>
      <c r="M14" s="19" t="n">
        <f aca="false">IFERROR($C14/L14,0)</f>
        <v>0</v>
      </c>
      <c r="N14" s="19" t="n">
        <f aca="false">SUM($C$3:C14)</f>
        <v>190083748.7876</v>
      </c>
      <c r="O14" s="19" t="n">
        <f aca="false">SUM($B$3:B14)</f>
        <v>277366177.22654</v>
      </c>
      <c r="P14" s="20" t="n">
        <f aca="false">IFERROR(N14/O14,0)</f>
        <v>0.685316972272176</v>
      </c>
    </row>
    <row r="15" customFormat="false" ht="15" hidden="false" customHeight="false" outlineLevel="0" collapsed="false">
      <c r="A15" s="40" t="n">
        <v>46278</v>
      </c>
      <c r="B15" s="19" t="n">
        <f aca="false">SUMIFS(METAS_DIA!$D$2:$D$541,METAS_DIA!$A$2:$A$541,$A15,METAS_DIA!$B$2:$B$541,"&lt;&gt;MIXTO")</f>
        <v>14320927.18108</v>
      </c>
      <c r="C15" s="19" t="n">
        <f aca="false">SUMIFS(DIARIO!$D$2:$D$171,DIARIO!$A$2:$A$171,$A15,DIARIO!$B$2:$B$171,"&lt;&gt;MIXTO")</f>
        <v>0</v>
      </c>
      <c r="D15" s="20" t="n">
        <f aca="false">IFERROR(C15/B15,0)</f>
        <v>0</v>
      </c>
      <c r="E15" s="21" t="n">
        <f aca="false">SUMIFS(METAS_DIA!$E$2:$E$541,METAS_DIA!$A$2:$A$541,$A15,METAS_DIA!$B$2:$B$541,"&lt;&gt;MIXTO")</f>
        <v>1251.797808473</v>
      </c>
      <c r="F15" s="21" t="n">
        <f aca="false">SUMIFS(DIARIO!$E$2:$E$171,DIARIO!$A$2:$A$171,$A15,DIARIO!$B$2:$B$171,"&lt;&gt;MIXTO")</f>
        <v>0</v>
      </c>
      <c r="G15" s="19" t="n">
        <f aca="false">IFERROR(C15/F15,0)</f>
        <v>0</v>
      </c>
      <c r="H15" s="37" t="n">
        <f aca="false">SUMIFS(DIARIO!$F$2:$F$171,DIARIO!$A$2:$A$171,$A15,DIARIO!$B$2:$B$171,"&lt;&gt;MIXTO")</f>
        <v>0</v>
      </c>
      <c r="I15" s="19" t="n">
        <f aca="false">IFERROR($C15/H15,0)</f>
        <v>0</v>
      </c>
      <c r="J15" s="37" t="n">
        <f aca="false">SUMIFS(DIARIO!$G$2:$G$171,DIARIO!$A$2:$A$171,$A15,DIARIO!$B$2:$B$171,"&lt;&gt;MIXTO")</f>
        <v>0</v>
      </c>
      <c r="K15" s="19" t="n">
        <f aca="false">IFERROR($C15/J15,0)</f>
        <v>0</v>
      </c>
      <c r="L15" s="37" t="n">
        <f aca="false">SUMIFS(DIARIO!$H$2:$H$171,DIARIO!$A$2:$A$171,$A15,DIARIO!$B$2:$B$171,"&lt;&gt;MIXTO")</f>
        <v>0</v>
      </c>
      <c r="M15" s="19" t="n">
        <f aca="false">IFERROR($C15/L15,0)</f>
        <v>0</v>
      </c>
      <c r="N15" s="19" t="n">
        <f aca="false">SUM($C$3:C15)</f>
        <v>190083748.7876</v>
      </c>
      <c r="O15" s="19" t="n">
        <f aca="false">SUM($B$3:B15)</f>
        <v>291687104.40762</v>
      </c>
      <c r="P15" s="20" t="n">
        <f aca="false">IFERROR(N15/O15,0)</f>
        <v>0.651670046139463</v>
      </c>
    </row>
    <row r="16" customFormat="false" ht="15" hidden="false" customHeight="false" outlineLevel="0" collapsed="false">
      <c r="A16" s="40" t="n">
        <v>46279</v>
      </c>
      <c r="B16" s="19" t="n">
        <f aca="false">SUMIFS(METAS_DIA!$D$2:$D$541,METAS_DIA!$A$2:$A$541,$A16,METAS_DIA!$B$2:$B$541,"&lt;&gt;MIXTO")</f>
        <v>30717237.42892</v>
      </c>
      <c r="C16" s="19" t="n">
        <f aca="false">SUMIFS(DIARIO!$D$2:$D$171,DIARIO!$A$2:$A$171,$A16,DIARIO!$B$2:$B$171,"&lt;&gt;MIXTO")</f>
        <v>0</v>
      </c>
      <c r="D16" s="20" t="n">
        <f aca="false">IFERROR(C16/B16,0)</f>
        <v>0</v>
      </c>
      <c r="E16" s="21" t="n">
        <f aca="false">SUMIFS(METAS_DIA!$E$2:$E$541,METAS_DIA!$A$2:$A$541,$A16,METAS_DIA!$B$2:$B$541,"&lt;&gt;MIXTO")</f>
        <v>2682.7661215</v>
      </c>
      <c r="F16" s="21" t="n">
        <f aca="false">SUMIFS(DIARIO!$E$2:$E$171,DIARIO!$A$2:$A$171,$A16,DIARIO!$B$2:$B$171,"&lt;&gt;MIXTO")</f>
        <v>0</v>
      </c>
      <c r="G16" s="19" t="n">
        <f aca="false">IFERROR(C16/F16,0)</f>
        <v>0</v>
      </c>
      <c r="H16" s="37" t="n">
        <f aca="false">SUMIFS(DIARIO!$F$2:$F$171,DIARIO!$A$2:$A$171,$A16,DIARIO!$B$2:$B$171,"&lt;&gt;MIXTO")</f>
        <v>0</v>
      </c>
      <c r="I16" s="19" t="n">
        <f aca="false">IFERROR($C16/H16,0)</f>
        <v>0</v>
      </c>
      <c r="J16" s="37" t="n">
        <f aca="false">SUMIFS(DIARIO!$G$2:$G$171,DIARIO!$A$2:$A$171,$A16,DIARIO!$B$2:$B$171,"&lt;&gt;MIXTO")</f>
        <v>0</v>
      </c>
      <c r="K16" s="19" t="n">
        <f aca="false">IFERROR($C16/J16,0)</f>
        <v>0</v>
      </c>
      <c r="L16" s="37" t="n">
        <f aca="false">SUMIFS(DIARIO!$H$2:$H$171,DIARIO!$A$2:$A$171,$A16,DIARIO!$B$2:$B$171,"&lt;&gt;MIXTO")</f>
        <v>0</v>
      </c>
      <c r="M16" s="19" t="n">
        <f aca="false">IFERROR($C16/L16,0)</f>
        <v>0</v>
      </c>
      <c r="N16" s="19" t="n">
        <f aca="false">SUM($C$3:C16)</f>
        <v>190083748.7876</v>
      </c>
      <c r="O16" s="19" t="n">
        <f aca="false">SUM($B$3:B16)</f>
        <v>322404341.83654</v>
      </c>
      <c r="P16" s="20" t="n">
        <f aca="false">IFERROR(N16/O16,0)</f>
        <v>0.589581851487512</v>
      </c>
    </row>
    <row r="17" customFormat="false" ht="15" hidden="false" customHeight="false" outlineLevel="0" collapsed="false">
      <c r="A17" s="40" t="n">
        <v>46280</v>
      </c>
      <c r="B17" s="19" t="n">
        <f aca="false">SUMIFS(METAS_DIA!$D$2:$D$541,METAS_DIA!$A$2:$A$541,$A17,METAS_DIA!$B$2:$B$541,"&lt;&gt;MIXTO")</f>
        <v>25803282.55896</v>
      </c>
      <c r="C17" s="19" t="n">
        <f aca="false">SUMIFS(DIARIO!$D$2:$D$171,DIARIO!$A$2:$A$171,$A17,DIARIO!$B$2:$B$171,"&lt;&gt;MIXTO")</f>
        <v>0</v>
      </c>
      <c r="D17" s="20" t="n">
        <f aca="false">IFERROR(C17/B17,0)</f>
        <v>0</v>
      </c>
      <c r="E17" s="21" t="n">
        <f aca="false">SUMIFS(METAS_DIA!$E$2:$E$541,METAS_DIA!$A$2:$A$541,$A17,METAS_DIA!$B$2:$B$541,"&lt;&gt;MIXTO")</f>
        <v>2257.502742435</v>
      </c>
      <c r="F17" s="21" t="n">
        <f aca="false">SUMIFS(DIARIO!$E$2:$E$171,DIARIO!$A$2:$A$171,$A17,DIARIO!$B$2:$B$171,"&lt;&gt;MIXTO")</f>
        <v>0</v>
      </c>
      <c r="G17" s="19" t="n">
        <f aca="false">IFERROR(C17/F17,0)</f>
        <v>0</v>
      </c>
      <c r="H17" s="37" t="n">
        <f aca="false">SUMIFS(DIARIO!$F$2:$F$171,DIARIO!$A$2:$A$171,$A17,DIARIO!$B$2:$B$171,"&lt;&gt;MIXTO")</f>
        <v>0</v>
      </c>
      <c r="I17" s="19" t="n">
        <f aca="false">IFERROR($C17/H17,0)</f>
        <v>0</v>
      </c>
      <c r="J17" s="37" t="n">
        <f aca="false">SUMIFS(DIARIO!$G$2:$G$171,DIARIO!$A$2:$A$171,$A17,DIARIO!$B$2:$B$171,"&lt;&gt;MIXTO")</f>
        <v>0</v>
      </c>
      <c r="K17" s="19" t="n">
        <f aca="false">IFERROR($C17/J17,0)</f>
        <v>0</v>
      </c>
      <c r="L17" s="37" t="n">
        <f aca="false">SUMIFS(DIARIO!$H$2:$H$171,DIARIO!$A$2:$A$171,$A17,DIARIO!$B$2:$B$171,"&lt;&gt;MIXTO")</f>
        <v>0</v>
      </c>
      <c r="M17" s="19" t="n">
        <f aca="false">IFERROR($C17/L17,0)</f>
        <v>0</v>
      </c>
      <c r="N17" s="19" t="n">
        <f aca="false">SUM($C$3:C17)</f>
        <v>190083748.7876</v>
      </c>
      <c r="O17" s="19" t="n">
        <f aca="false">SUM($B$3:B17)</f>
        <v>348207624.3955</v>
      </c>
      <c r="P17" s="20" t="n">
        <f aca="false">IFERROR(N17/O17,0)</f>
        <v>0.545891977861173</v>
      </c>
    </row>
    <row r="18" customFormat="false" ht="15" hidden="false" customHeight="false" outlineLevel="0" collapsed="false">
      <c r="A18" s="40" t="n">
        <v>46281</v>
      </c>
      <c r="B18" s="19" t="n">
        <f aca="false">SUMIFS(METAS_DIA!$D$2:$D$541,METAS_DIA!$A$2:$A$541,$A18,METAS_DIA!$B$2:$B$541,"&lt;&gt;MIXTO")</f>
        <v>22472770.04588</v>
      </c>
      <c r="C18" s="19" t="n">
        <f aca="false">SUMIFS(DIARIO!$D$2:$D$171,DIARIO!$A$2:$A$171,$A18,DIARIO!$B$2:$B$171,"&lt;&gt;MIXTO")</f>
        <v>0</v>
      </c>
      <c r="D18" s="20" t="n">
        <f aca="false">IFERROR(C18/B18,0)</f>
        <v>0</v>
      </c>
      <c r="E18" s="21" t="n">
        <f aca="false">SUMIFS(METAS_DIA!$E$2:$E$541,METAS_DIA!$A$2:$A$541,$A18,METAS_DIA!$B$2:$B$541,"&lt;&gt;MIXTO")</f>
        <v>1981.973055927</v>
      </c>
      <c r="F18" s="21" t="n">
        <f aca="false">SUMIFS(DIARIO!$E$2:$E$171,DIARIO!$A$2:$A$171,$A18,DIARIO!$B$2:$B$171,"&lt;&gt;MIXTO")</f>
        <v>0</v>
      </c>
      <c r="G18" s="19" t="n">
        <f aca="false">IFERROR(C18/F18,0)</f>
        <v>0</v>
      </c>
      <c r="H18" s="37" t="n">
        <f aca="false">SUMIFS(DIARIO!$F$2:$F$171,DIARIO!$A$2:$A$171,$A18,DIARIO!$B$2:$B$171,"&lt;&gt;MIXTO")</f>
        <v>0</v>
      </c>
      <c r="I18" s="19" t="n">
        <f aca="false">IFERROR($C18/H18,0)</f>
        <v>0</v>
      </c>
      <c r="J18" s="37" t="n">
        <f aca="false">SUMIFS(DIARIO!$G$2:$G$171,DIARIO!$A$2:$A$171,$A18,DIARIO!$B$2:$B$171,"&lt;&gt;MIXTO")</f>
        <v>0</v>
      </c>
      <c r="K18" s="19" t="n">
        <f aca="false">IFERROR($C18/J18,0)</f>
        <v>0</v>
      </c>
      <c r="L18" s="37" t="n">
        <f aca="false">SUMIFS(DIARIO!$H$2:$H$171,DIARIO!$A$2:$A$171,$A18,DIARIO!$B$2:$B$171,"&lt;&gt;MIXTO")</f>
        <v>0</v>
      </c>
      <c r="M18" s="19" t="n">
        <f aca="false">IFERROR($C18/L18,0)</f>
        <v>0</v>
      </c>
      <c r="N18" s="19" t="n">
        <f aca="false">SUM($C$3:C18)</f>
        <v>190083748.7876</v>
      </c>
      <c r="O18" s="19" t="n">
        <f aca="false">SUM($B$3:B18)</f>
        <v>370680394.44138</v>
      </c>
      <c r="P18" s="20" t="n">
        <f aca="false">IFERROR(N18/O18,0)</f>
        <v>0.512796877412572</v>
      </c>
    </row>
    <row r="19" customFormat="false" ht="15" hidden="false" customHeight="false" outlineLevel="0" collapsed="false">
      <c r="A19" s="40" t="n">
        <v>46282</v>
      </c>
      <c r="B19" s="19" t="n">
        <f aca="false">SUMIFS(METAS_DIA!$D$2:$D$541,METAS_DIA!$A$2:$A$541,$A19,METAS_DIA!$B$2:$B$541,"&lt;&gt;MIXTO")</f>
        <v>15303249.46658</v>
      </c>
      <c r="C19" s="19" t="n">
        <f aca="false">SUMIFS(DIARIO!$D$2:$D$171,DIARIO!$A$2:$A$171,$A19,DIARIO!$B$2:$B$171,"&lt;&gt;MIXTO")</f>
        <v>0</v>
      </c>
      <c r="D19" s="20" t="n">
        <f aca="false">IFERROR(C19/B19,0)</f>
        <v>0</v>
      </c>
      <c r="E19" s="21" t="n">
        <f aca="false">SUMIFS(METAS_DIA!$E$2:$E$541,METAS_DIA!$A$2:$A$541,$A19,METAS_DIA!$B$2:$B$541,"&lt;&gt;MIXTO")</f>
        <v>1338.984949422</v>
      </c>
      <c r="F19" s="21" t="n">
        <f aca="false">SUMIFS(DIARIO!$E$2:$E$171,DIARIO!$A$2:$A$171,$A19,DIARIO!$B$2:$B$171,"&lt;&gt;MIXTO")</f>
        <v>0</v>
      </c>
      <c r="G19" s="19" t="n">
        <f aca="false">IFERROR(C19/F19,0)</f>
        <v>0</v>
      </c>
      <c r="H19" s="37" t="n">
        <f aca="false">SUMIFS(DIARIO!$F$2:$F$171,DIARIO!$A$2:$A$171,$A19,DIARIO!$B$2:$B$171,"&lt;&gt;MIXTO")</f>
        <v>0</v>
      </c>
      <c r="I19" s="19" t="n">
        <f aca="false">IFERROR($C19/H19,0)</f>
        <v>0</v>
      </c>
      <c r="J19" s="37" t="n">
        <f aca="false">SUMIFS(DIARIO!$G$2:$G$171,DIARIO!$A$2:$A$171,$A19,DIARIO!$B$2:$B$171,"&lt;&gt;MIXTO")</f>
        <v>0</v>
      </c>
      <c r="K19" s="19" t="n">
        <f aca="false">IFERROR($C19/J19,0)</f>
        <v>0</v>
      </c>
      <c r="L19" s="37" t="n">
        <f aca="false">SUMIFS(DIARIO!$H$2:$H$171,DIARIO!$A$2:$A$171,$A19,DIARIO!$B$2:$B$171,"&lt;&gt;MIXTO")</f>
        <v>0</v>
      </c>
      <c r="M19" s="19" t="n">
        <f aca="false">IFERROR($C19/L19,0)</f>
        <v>0</v>
      </c>
      <c r="N19" s="19" t="n">
        <f aca="false">SUM($C$3:C19)</f>
        <v>190083748.7876</v>
      </c>
      <c r="O19" s="19" t="n">
        <f aca="false">SUM($B$3:B19)</f>
        <v>385983643.90796</v>
      </c>
      <c r="P19" s="20" t="n">
        <f aca="false">IFERROR(N19/O19,0)</f>
        <v>0.492465812444961</v>
      </c>
    </row>
    <row r="20" customFormat="false" ht="15" hidden="false" customHeight="false" outlineLevel="0" collapsed="false">
      <c r="A20" s="40" t="n">
        <v>46283</v>
      </c>
      <c r="B20" s="19" t="n">
        <f aca="false">SUMIFS(METAS_DIA!$D$2:$D$541,METAS_DIA!$A$2:$A$541,$A20,METAS_DIA!$B$2:$B$541,"&lt;&gt;MIXTO")</f>
        <v>10786910.39716</v>
      </c>
      <c r="C20" s="19" t="n">
        <f aca="false">SUMIFS(DIARIO!$D$2:$D$171,DIARIO!$A$2:$A$171,$A20,DIARIO!$B$2:$B$171,"&lt;&gt;MIXTO")</f>
        <v>0</v>
      </c>
      <c r="D20" s="20" t="n">
        <f aca="false">IFERROR(C20/B20,0)</f>
        <v>0</v>
      </c>
      <c r="E20" s="21" t="n">
        <f aca="false">SUMIFS(METAS_DIA!$E$2:$E$541,METAS_DIA!$A$2:$A$541,$A20,METAS_DIA!$B$2:$B$541,"&lt;&gt;MIXTO")</f>
        <v>927.251774659</v>
      </c>
      <c r="F20" s="21" t="n">
        <f aca="false">SUMIFS(DIARIO!$E$2:$E$171,DIARIO!$A$2:$A$171,$A20,DIARIO!$B$2:$B$171,"&lt;&gt;MIXTO")</f>
        <v>0</v>
      </c>
      <c r="G20" s="19" t="n">
        <f aca="false">IFERROR(C20/F20,0)</f>
        <v>0</v>
      </c>
      <c r="H20" s="37" t="n">
        <f aca="false">SUMIFS(DIARIO!$F$2:$F$171,DIARIO!$A$2:$A$171,$A20,DIARIO!$B$2:$B$171,"&lt;&gt;MIXTO")</f>
        <v>0</v>
      </c>
      <c r="I20" s="19" t="n">
        <f aca="false">IFERROR($C20/H20,0)</f>
        <v>0</v>
      </c>
      <c r="J20" s="37" t="n">
        <f aca="false">SUMIFS(DIARIO!$G$2:$G$171,DIARIO!$A$2:$A$171,$A20,DIARIO!$B$2:$B$171,"&lt;&gt;MIXTO")</f>
        <v>0</v>
      </c>
      <c r="K20" s="19" t="n">
        <f aca="false">IFERROR($C20/J20,0)</f>
        <v>0</v>
      </c>
      <c r="L20" s="37" t="n">
        <f aca="false">SUMIFS(DIARIO!$H$2:$H$171,DIARIO!$A$2:$A$171,$A20,DIARIO!$B$2:$B$171,"&lt;&gt;MIXTO")</f>
        <v>0</v>
      </c>
      <c r="M20" s="19" t="n">
        <f aca="false">IFERROR($C20/L20,0)</f>
        <v>0</v>
      </c>
      <c r="N20" s="19" t="n">
        <f aca="false">SUM($C$3:C20)</f>
        <v>190083748.7876</v>
      </c>
      <c r="O20" s="19" t="n">
        <f aca="false">SUM($B$3:B20)</f>
        <v>396770554.30512</v>
      </c>
      <c r="P20" s="20" t="n">
        <f aca="false">IFERROR(N20/O20,0)</f>
        <v>0.479077256931279</v>
      </c>
    </row>
    <row r="21" customFormat="false" ht="15" hidden="false" customHeight="false" outlineLevel="0" collapsed="false">
      <c r="A21" s="40" t="n">
        <v>46284</v>
      </c>
      <c r="B21" s="19" t="n">
        <f aca="false">SUMIFS(METAS_DIA!$D$2:$D$541,METAS_DIA!$A$2:$A$541,$A21,METAS_DIA!$B$2:$B$541,"&lt;&gt;MIXTO")</f>
        <v>9619586.8157</v>
      </c>
      <c r="C21" s="19" t="n">
        <f aca="false">SUMIFS(DIARIO!$D$2:$D$171,DIARIO!$A$2:$A$171,$A21,DIARIO!$B$2:$B$171,"&lt;&gt;MIXTO")</f>
        <v>0</v>
      </c>
      <c r="D21" s="20" t="n">
        <f aca="false">IFERROR(C21/B21,0)</f>
        <v>0</v>
      </c>
      <c r="E21" s="21" t="n">
        <f aca="false">SUMIFS(METAS_DIA!$E$2:$E$541,METAS_DIA!$A$2:$A$541,$A21,METAS_DIA!$B$2:$B$541,"&lt;&gt;MIXTO")</f>
        <v>812.848653639</v>
      </c>
      <c r="F21" s="21" t="n">
        <f aca="false">SUMIFS(DIARIO!$E$2:$E$171,DIARIO!$A$2:$A$171,$A21,DIARIO!$B$2:$B$171,"&lt;&gt;MIXTO")</f>
        <v>0</v>
      </c>
      <c r="G21" s="19" t="n">
        <f aca="false">IFERROR(C21/F21,0)</f>
        <v>0</v>
      </c>
      <c r="H21" s="37" t="n">
        <f aca="false">SUMIFS(DIARIO!$F$2:$F$171,DIARIO!$A$2:$A$171,$A21,DIARIO!$B$2:$B$171,"&lt;&gt;MIXTO")</f>
        <v>0</v>
      </c>
      <c r="I21" s="19" t="n">
        <f aca="false">IFERROR($C21/H21,0)</f>
        <v>0</v>
      </c>
      <c r="J21" s="37" t="n">
        <f aca="false">SUMIFS(DIARIO!$G$2:$G$171,DIARIO!$A$2:$A$171,$A21,DIARIO!$B$2:$B$171,"&lt;&gt;MIXTO")</f>
        <v>0</v>
      </c>
      <c r="K21" s="19" t="n">
        <f aca="false">IFERROR($C21/J21,0)</f>
        <v>0</v>
      </c>
      <c r="L21" s="37" t="n">
        <f aca="false">SUMIFS(DIARIO!$H$2:$H$171,DIARIO!$A$2:$A$171,$A21,DIARIO!$B$2:$B$171,"&lt;&gt;MIXTO")</f>
        <v>0</v>
      </c>
      <c r="M21" s="19" t="n">
        <f aca="false">IFERROR($C21/L21,0)</f>
        <v>0</v>
      </c>
      <c r="N21" s="19" t="n">
        <f aca="false">SUM($C$3:C21)</f>
        <v>190083748.7876</v>
      </c>
      <c r="O21" s="19" t="n">
        <f aca="false">SUM($B$3:B21)</f>
        <v>406390141.12082</v>
      </c>
      <c r="P21" s="20" t="n">
        <f aca="false">IFERROR(N21/O21,0)</f>
        <v>0.467737106671316</v>
      </c>
    </row>
    <row r="22" customFormat="false" ht="15" hidden="false" customHeight="false" outlineLevel="0" collapsed="false">
      <c r="A22" s="40" t="n">
        <v>46285</v>
      </c>
      <c r="B22" s="19" t="n">
        <f aca="false">SUMIFS(METAS_DIA!$D$2:$D$541,METAS_DIA!$A$2:$A$541,$A22,METAS_DIA!$B$2:$B$541,"&lt;&gt;MIXTO")</f>
        <v>9619586.8157</v>
      </c>
      <c r="C22" s="19" t="n">
        <f aca="false">SUMIFS(DIARIO!$D$2:$D$171,DIARIO!$A$2:$A$171,$A22,DIARIO!$B$2:$B$171,"&lt;&gt;MIXTO")</f>
        <v>0</v>
      </c>
      <c r="D22" s="20" t="n">
        <f aca="false">IFERROR(C22/B22,0)</f>
        <v>0</v>
      </c>
      <c r="E22" s="21" t="n">
        <f aca="false">SUMIFS(METAS_DIA!$E$2:$E$541,METAS_DIA!$A$2:$A$541,$A22,METAS_DIA!$B$2:$B$541,"&lt;&gt;MIXTO")</f>
        <v>812.848653639</v>
      </c>
      <c r="F22" s="21" t="n">
        <f aca="false">SUMIFS(DIARIO!$E$2:$E$171,DIARIO!$A$2:$A$171,$A22,DIARIO!$B$2:$B$171,"&lt;&gt;MIXTO")</f>
        <v>0</v>
      </c>
      <c r="G22" s="19" t="n">
        <f aca="false">IFERROR(C22/F22,0)</f>
        <v>0</v>
      </c>
      <c r="H22" s="37" t="n">
        <f aca="false">SUMIFS(DIARIO!$F$2:$F$171,DIARIO!$A$2:$A$171,$A22,DIARIO!$B$2:$B$171,"&lt;&gt;MIXTO")</f>
        <v>0</v>
      </c>
      <c r="I22" s="19" t="n">
        <f aca="false">IFERROR($C22/H22,0)</f>
        <v>0</v>
      </c>
      <c r="J22" s="37" t="n">
        <f aca="false">SUMIFS(DIARIO!$G$2:$G$171,DIARIO!$A$2:$A$171,$A22,DIARIO!$B$2:$B$171,"&lt;&gt;MIXTO")</f>
        <v>0</v>
      </c>
      <c r="K22" s="19" t="n">
        <f aca="false">IFERROR($C22/J22,0)</f>
        <v>0</v>
      </c>
      <c r="L22" s="37" t="n">
        <f aca="false">SUMIFS(DIARIO!$H$2:$H$171,DIARIO!$A$2:$A$171,$A22,DIARIO!$B$2:$B$171,"&lt;&gt;MIXTO")</f>
        <v>0</v>
      </c>
      <c r="M22" s="19" t="n">
        <f aca="false">IFERROR($C22/L22,0)</f>
        <v>0</v>
      </c>
      <c r="N22" s="19" t="n">
        <f aca="false">SUM($C$3:C22)</f>
        <v>190083748.7876</v>
      </c>
      <c r="O22" s="19" t="n">
        <f aca="false">SUM($B$3:B22)</f>
        <v>416009727.93652</v>
      </c>
      <c r="P22" s="20" t="n">
        <f aca="false">IFERROR(N22/O22,0)</f>
        <v>0.456921403570172</v>
      </c>
    </row>
    <row r="23" customFormat="false" ht="15" hidden="false" customHeight="false" outlineLevel="0" collapsed="false">
      <c r="A23" s="40" t="n">
        <v>46286</v>
      </c>
      <c r="B23" s="19" t="n">
        <f aca="false">SUMIFS(METAS_DIA!$D$2:$D$541,METAS_DIA!$A$2:$A$541,$A23,METAS_DIA!$B$2:$B$541,"&lt;&gt;MIXTO")</f>
        <v>30295650.61556</v>
      </c>
      <c r="C23" s="19" t="n">
        <f aca="false">SUMIFS(DIARIO!$D$2:$D$171,DIARIO!$A$2:$A$171,$A23,DIARIO!$B$2:$B$171,"&lt;&gt;MIXTO")</f>
        <v>0</v>
      </c>
      <c r="D23" s="20" t="n">
        <f aca="false">IFERROR(C23/B23,0)</f>
        <v>0</v>
      </c>
      <c r="E23" s="21" t="n">
        <f aca="false">SUMIFS(METAS_DIA!$E$2:$E$541,METAS_DIA!$A$2:$A$541,$A23,METAS_DIA!$B$2:$B$541,"&lt;&gt;MIXTO")</f>
        <v>2672.33764458</v>
      </c>
      <c r="F23" s="21" t="n">
        <f aca="false">SUMIFS(DIARIO!$E$2:$E$171,DIARIO!$A$2:$A$171,$A23,DIARIO!$B$2:$B$171,"&lt;&gt;MIXTO")</f>
        <v>0</v>
      </c>
      <c r="G23" s="19" t="n">
        <f aca="false">IFERROR(C23/F23,0)</f>
        <v>0</v>
      </c>
      <c r="H23" s="37" t="n">
        <f aca="false">SUMIFS(DIARIO!$F$2:$F$171,DIARIO!$A$2:$A$171,$A23,DIARIO!$B$2:$B$171,"&lt;&gt;MIXTO")</f>
        <v>0</v>
      </c>
      <c r="I23" s="19" t="n">
        <f aca="false">IFERROR($C23/H23,0)</f>
        <v>0</v>
      </c>
      <c r="J23" s="37" t="n">
        <f aca="false">SUMIFS(DIARIO!$G$2:$G$171,DIARIO!$A$2:$A$171,$A23,DIARIO!$B$2:$B$171,"&lt;&gt;MIXTO")</f>
        <v>0</v>
      </c>
      <c r="K23" s="19" t="n">
        <f aca="false">IFERROR($C23/J23,0)</f>
        <v>0</v>
      </c>
      <c r="L23" s="37" t="n">
        <f aca="false">SUMIFS(DIARIO!$H$2:$H$171,DIARIO!$A$2:$A$171,$A23,DIARIO!$B$2:$B$171,"&lt;&gt;MIXTO")</f>
        <v>0</v>
      </c>
      <c r="M23" s="19" t="n">
        <f aca="false">IFERROR($C23/L23,0)</f>
        <v>0</v>
      </c>
      <c r="N23" s="19" t="n">
        <f aca="false">SUM($C$3:C23)</f>
        <v>190083748.7876</v>
      </c>
      <c r="O23" s="19" t="n">
        <f aca="false">SUM($B$3:B23)</f>
        <v>446305378.55208</v>
      </c>
      <c r="P23" s="20" t="n">
        <f aca="false">IFERROR(N23/O23,0)</f>
        <v>0.425905126674199</v>
      </c>
    </row>
    <row r="24" customFormat="false" ht="15" hidden="false" customHeight="false" outlineLevel="0" collapsed="false">
      <c r="A24" s="40" t="n">
        <v>46287</v>
      </c>
      <c r="B24" s="19" t="n">
        <f aca="false">SUMIFS(METAS_DIA!$D$2:$D$541,METAS_DIA!$A$2:$A$541,$A24,METAS_DIA!$B$2:$B$541,"&lt;&gt;MIXTO")</f>
        <v>24471807.25712</v>
      </c>
      <c r="C24" s="19" t="n">
        <f aca="false">SUMIFS(DIARIO!$D$2:$D$171,DIARIO!$A$2:$A$171,$A24,DIARIO!$B$2:$B$171,"&lt;&gt;MIXTO")</f>
        <v>0</v>
      </c>
      <c r="D24" s="20" t="n">
        <f aca="false">IFERROR(C24/B24,0)</f>
        <v>0</v>
      </c>
      <c r="E24" s="21" t="n">
        <f aca="false">SUMIFS(METAS_DIA!$E$2:$E$541,METAS_DIA!$A$2:$A$541,$A24,METAS_DIA!$B$2:$B$541,"&lt;&gt;MIXTO")</f>
        <v>2148.21031521</v>
      </c>
      <c r="F24" s="21" t="n">
        <f aca="false">SUMIFS(DIARIO!$E$2:$E$171,DIARIO!$A$2:$A$171,$A24,DIARIO!$B$2:$B$171,"&lt;&gt;MIXTO")</f>
        <v>0</v>
      </c>
      <c r="G24" s="19" t="n">
        <f aca="false">IFERROR(C24/F24,0)</f>
        <v>0</v>
      </c>
      <c r="H24" s="37" t="n">
        <f aca="false">SUMIFS(DIARIO!$F$2:$F$171,DIARIO!$A$2:$A$171,$A24,DIARIO!$B$2:$B$171,"&lt;&gt;MIXTO")</f>
        <v>0</v>
      </c>
      <c r="I24" s="19" t="n">
        <f aca="false">IFERROR($C24/H24,0)</f>
        <v>0</v>
      </c>
      <c r="J24" s="37" t="n">
        <f aca="false">SUMIFS(DIARIO!$G$2:$G$171,DIARIO!$A$2:$A$171,$A24,DIARIO!$B$2:$B$171,"&lt;&gt;MIXTO")</f>
        <v>0</v>
      </c>
      <c r="K24" s="19" t="n">
        <f aca="false">IFERROR($C24/J24,0)</f>
        <v>0</v>
      </c>
      <c r="L24" s="37" t="n">
        <f aca="false">SUMIFS(DIARIO!$H$2:$H$171,DIARIO!$A$2:$A$171,$A24,DIARIO!$B$2:$B$171,"&lt;&gt;MIXTO")</f>
        <v>0</v>
      </c>
      <c r="M24" s="19" t="n">
        <f aca="false">IFERROR($C24/L24,0)</f>
        <v>0</v>
      </c>
      <c r="N24" s="19" t="n">
        <f aca="false">SUM($C$3:C24)</f>
        <v>190083748.7876</v>
      </c>
      <c r="O24" s="19" t="n">
        <f aca="false">SUM($B$3:B24)</f>
        <v>470777185.8092</v>
      </c>
      <c r="P24" s="20" t="n">
        <f aca="false">IFERROR(N24/O24,0)</f>
        <v>0.40376584617386</v>
      </c>
    </row>
    <row r="25" customFormat="false" ht="15" hidden="false" customHeight="false" outlineLevel="0" collapsed="false">
      <c r="A25" s="40" t="n">
        <v>46288</v>
      </c>
      <c r="B25" s="19" t="n">
        <f aca="false">SUMIFS(METAS_DIA!$D$2:$D$541,METAS_DIA!$A$2:$A$541,$A25,METAS_DIA!$B$2:$B$541,"&lt;&gt;MIXTO")</f>
        <v>22354213.74481</v>
      </c>
      <c r="C25" s="19" t="n">
        <f aca="false">SUMIFS(DIARIO!$D$2:$D$171,DIARIO!$A$2:$A$171,$A25,DIARIO!$B$2:$B$171,"&lt;&gt;MIXTO")</f>
        <v>0</v>
      </c>
      <c r="D25" s="20" t="n">
        <f aca="false">IFERROR(C25/B25,0)</f>
        <v>0</v>
      </c>
      <c r="E25" s="21" t="n">
        <f aca="false">SUMIFS(METAS_DIA!$E$2:$E$541,METAS_DIA!$A$2:$A$541,$A25,METAS_DIA!$B$2:$B$541,"&lt;&gt;MIXTO")</f>
        <v>1970.353988939</v>
      </c>
      <c r="F25" s="21" t="n">
        <f aca="false">SUMIFS(DIARIO!$E$2:$E$171,DIARIO!$A$2:$A$171,$A25,DIARIO!$B$2:$B$171,"&lt;&gt;MIXTO")</f>
        <v>0</v>
      </c>
      <c r="G25" s="19" t="n">
        <f aca="false">IFERROR(C25/F25,0)</f>
        <v>0</v>
      </c>
      <c r="H25" s="37" t="n">
        <f aca="false">SUMIFS(DIARIO!$F$2:$F$171,DIARIO!$A$2:$A$171,$A25,DIARIO!$B$2:$B$171,"&lt;&gt;MIXTO")</f>
        <v>0</v>
      </c>
      <c r="I25" s="19" t="n">
        <f aca="false">IFERROR($C25/H25,0)</f>
        <v>0</v>
      </c>
      <c r="J25" s="37" t="n">
        <f aca="false">SUMIFS(DIARIO!$G$2:$G$171,DIARIO!$A$2:$A$171,$A25,DIARIO!$B$2:$B$171,"&lt;&gt;MIXTO")</f>
        <v>0</v>
      </c>
      <c r="K25" s="19" t="n">
        <f aca="false">IFERROR($C25/J25,0)</f>
        <v>0</v>
      </c>
      <c r="L25" s="37" t="n">
        <f aca="false">SUMIFS(DIARIO!$H$2:$H$171,DIARIO!$A$2:$A$171,$A25,DIARIO!$B$2:$B$171,"&lt;&gt;MIXTO")</f>
        <v>0</v>
      </c>
      <c r="M25" s="19" t="n">
        <f aca="false">IFERROR($C25/L25,0)</f>
        <v>0</v>
      </c>
      <c r="N25" s="19" t="n">
        <f aca="false">SUM($C$3:C25)</f>
        <v>190083748.7876</v>
      </c>
      <c r="O25" s="19" t="n">
        <f aca="false">SUM($B$3:B25)</f>
        <v>493131399.55401</v>
      </c>
      <c r="P25" s="20" t="n">
        <f aca="false">IFERROR(N25/O25,0)</f>
        <v>0.385462675788872</v>
      </c>
    </row>
    <row r="26" customFormat="false" ht="15" hidden="false" customHeight="false" outlineLevel="0" collapsed="false">
      <c r="A26" s="40" t="n">
        <v>46289</v>
      </c>
      <c r="B26" s="19" t="n">
        <f aca="false">SUMIFS(METAS_DIA!$D$2:$D$541,METAS_DIA!$A$2:$A$541,$A26,METAS_DIA!$B$2:$B$541,"&lt;&gt;MIXTO")</f>
        <v>21465432.05775</v>
      </c>
      <c r="C26" s="19" t="n">
        <f aca="false">SUMIFS(DIARIO!$D$2:$D$171,DIARIO!$A$2:$A$171,$A26,DIARIO!$B$2:$B$171,"&lt;&gt;MIXTO")</f>
        <v>0</v>
      </c>
      <c r="D26" s="20" t="n">
        <f aca="false">IFERROR(C26/B26,0)</f>
        <v>0</v>
      </c>
      <c r="E26" s="21" t="n">
        <f aca="false">SUMIFS(METAS_DIA!$E$2:$E$541,METAS_DIA!$A$2:$A$541,$A26,METAS_DIA!$B$2:$B$541,"&lt;&gt;MIXTO")</f>
        <v>1881.432265591</v>
      </c>
      <c r="F26" s="21" t="n">
        <f aca="false">SUMIFS(DIARIO!$E$2:$E$171,DIARIO!$A$2:$A$171,$A26,DIARIO!$B$2:$B$171,"&lt;&gt;MIXTO")</f>
        <v>0</v>
      </c>
      <c r="G26" s="19" t="n">
        <f aca="false">IFERROR(C26/F26,0)</f>
        <v>0</v>
      </c>
      <c r="H26" s="37" t="n">
        <f aca="false">SUMIFS(DIARIO!$F$2:$F$171,DIARIO!$A$2:$A$171,$A26,DIARIO!$B$2:$B$171,"&lt;&gt;MIXTO")</f>
        <v>0</v>
      </c>
      <c r="I26" s="19" t="n">
        <f aca="false">IFERROR($C26/H26,0)</f>
        <v>0</v>
      </c>
      <c r="J26" s="37" t="n">
        <f aca="false">SUMIFS(DIARIO!$G$2:$G$171,DIARIO!$A$2:$A$171,$A26,DIARIO!$B$2:$B$171,"&lt;&gt;MIXTO")</f>
        <v>0</v>
      </c>
      <c r="K26" s="19" t="n">
        <f aca="false">IFERROR($C26/J26,0)</f>
        <v>0</v>
      </c>
      <c r="L26" s="37" t="n">
        <f aca="false">SUMIFS(DIARIO!$H$2:$H$171,DIARIO!$A$2:$A$171,$A26,DIARIO!$B$2:$B$171,"&lt;&gt;MIXTO")</f>
        <v>0</v>
      </c>
      <c r="M26" s="19" t="n">
        <f aca="false">IFERROR($C26/L26,0)</f>
        <v>0</v>
      </c>
      <c r="N26" s="19" t="n">
        <f aca="false">SUM($C$3:C26)</f>
        <v>190083748.7876</v>
      </c>
      <c r="O26" s="19" t="n">
        <f aca="false">SUM($B$3:B26)</f>
        <v>514596831.61176</v>
      </c>
      <c r="P26" s="20" t="n">
        <f aca="false">IFERROR(N26/O26,0)</f>
        <v>0.369383830429429</v>
      </c>
    </row>
    <row r="27" customFormat="false" ht="15" hidden="false" customHeight="false" outlineLevel="0" collapsed="false">
      <c r="A27" s="40" t="n">
        <v>46290</v>
      </c>
      <c r="B27" s="19" t="n">
        <f aca="false">SUMIFS(METAS_DIA!$D$2:$D$541,METAS_DIA!$A$2:$A$541,$A27,METAS_DIA!$B$2:$B$541,"&lt;&gt;MIXTO")</f>
        <v>19806167.76454</v>
      </c>
      <c r="C27" s="19" t="n">
        <f aca="false">SUMIFS(DIARIO!$D$2:$D$171,DIARIO!$A$2:$A$171,$A27,DIARIO!$B$2:$B$171,"&lt;&gt;MIXTO")</f>
        <v>0</v>
      </c>
      <c r="D27" s="20" t="n">
        <f aca="false">IFERROR(C27/B27,0)</f>
        <v>0</v>
      </c>
      <c r="E27" s="21" t="n">
        <f aca="false">SUMIFS(METAS_DIA!$E$2:$E$541,METAS_DIA!$A$2:$A$541,$A27,METAS_DIA!$B$2:$B$541,"&lt;&gt;MIXTO")</f>
        <v>1737.592332518</v>
      </c>
      <c r="F27" s="21" t="n">
        <f aca="false">SUMIFS(DIARIO!$E$2:$E$171,DIARIO!$A$2:$A$171,$A27,DIARIO!$B$2:$B$171,"&lt;&gt;MIXTO")</f>
        <v>0</v>
      </c>
      <c r="G27" s="19" t="n">
        <f aca="false">IFERROR(C27/F27,0)</f>
        <v>0</v>
      </c>
      <c r="H27" s="37" t="n">
        <f aca="false">SUMIFS(DIARIO!$F$2:$F$171,DIARIO!$A$2:$A$171,$A27,DIARIO!$B$2:$B$171,"&lt;&gt;MIXTO")</f>
        <v>0</v>
      </c>
      <c r="I27" s="19" t="n">
        <f aca="false">IFERROR($C27/H27,0)</f>
        <v>0</v>
      </c>
      <c r="J27" s="37" t="n">
        <f aca="false">SUMIFS(DIARIO!$G$2:$G$171,DIARIO!$A$2:$A$171,$A27,DIARIO!$B$2:$B$171,"&lt;&gt;MIXTO")</f>
        <v>0</v>
      </c>
      <c r="K27" s="19" t="n">
        <f aca="false">IFERROR($C27/J27,0)</f>
        <v>0</v>
      </c>
      <c r="L27" s="37" t="n">
        <f aca="false">SUMIFS(DIARIO!$H$2:$H$171,DIARIO!$A$2:$A$171,$A27,DIARIO!$B$2:$B$171,"&lt;&gt;MIXTO")</f>
        <v>0</v>
      </c>
      <c r="M27" s="19" t="n">
        <f aca="false">IFERROR($C27/L27,0)</f>
        <v>0</v>
      </c>
      <c r="N27" s="19" t="n">
        <f aca="false">SUM($C$3:C27)</f>
        <v>190083748.7876</v>
      </c>
      <c r="O27" s="19" t="n">
        <f aca="false">SUM($B$3:B27)</f>
        <v>534402999.3763</v>
      </c>
      <c r="P27" s="20" t="n">
        <f aca="false">IFERROR(N27/O27,0)</f>
        <v>0.355693641333312</v>
      </c>
    </row>
    <row r="28" customFormat="false" ht="15" hidden="false" customHeight="false" outlineLevel="0" collapsed="false">
      <c r="A28" s="40" t="n">
        <v>46291</v>
      </c>
      <c r="B28" s="19" t="n">
        <f aca="false">SUMIFS(METAS_DIA!$D$2:$D$541,METAS_DIA!$A$2:$A$541,$A28,METAS_DIA!$B$2:$B$541,"&lt;&gt;MIXTO")</f>
        <v>13776872.00364</v>
      </c>
      <c r="C28" s="19" t="n">
        <f aca="false">SUMIFS(DIARIO!$D$2:$D$171,DIARIO!$A$2:$A$171,$A28,DIARIO!$B$2:$B$171,"&lt;&gt;MIXTO")</f>
        <v>0</v>
      </c>
      <c r="D28" s="20" t="n">
        <f aca="false">IFERROR(C28/B28,0)</f>
        <v>0</v>
      </c>
      <c r="E28" s="21" t="n">
        <f aca="false">SUMIFS(METAS_DIA!$E$2:$E$541,METAS_DIA!$A$2:$A$541,$A28,METAS_DIA!$B$2:$B$541,"&lt;&gt;MIXTO")</f>
        <v>1205.140209739</v>
      </c>
      <c r="F28" s="21" t="n">
        <f aca="false">SUMIFS(DIARIO!$E$2:$E$171,DIARIO!$A$2:$A$171,$A28,DIARIO!$B$2:$B$171,"&lt;&gt;MIXTO")</f>
        <v>0</v>
      </c>
      <c r="G28" s="19" t="n">
        <f aca="false">IFERROR(C28/F28,0)</f>
        <v>0</v>
      </c>
      <c r="H28" s="37" t="n">
        <f aca="false">SUMIFS(DIARIO!$F$2:$F$171,DIARIO!$A$2:$A$171,$A28,DIARIO!$B$2:$B$171,"&lt;&gt;MIXTO")</f>
        <v>0</v>
      </c>
      <c r="I28" s="19" t="n">
        <f aca="false">IFERROR($C28/H28,0)</f>
        <v>0</v>
      </c>
      <c r="J28" s="37" t="n">
        <f aca="false">SUMIFS(DIARIO!$G$2:$G$171,DIARIO!$A$2:$A$171,$A28,DIARIO!$B$2:$B$171,"&lt;&gt;MIXTO")</f>
        <v>0</v>
      </c>
      <c r="K28" s="19" t="n">
        <f aca="false">IFERROR($C28/J28,0)</f>
        <v>0</v>
      </c>
      <c r="L28" s="37" t="n">
        <f aca="false">SUMIFS(DIARIO!$H$2:$H$171,DIARIO!$A$2:$A$171,$A28,DIARIO!$B$2:$B$171,"&lt;&gt;MIXTO")</f>
        <v>0</v>
      </c>
      <c r="M28" s="19" t="n">
        <f aca="false">IFERROR($C28/L28,0)</f>
        <v>0</v>
      </c>
      <c r="N28" s="19" t="n">
        <f aca="false">SUM($C$3:C28)</f>
        <v>190083748.7876</v>
      </c>
      <c r="O28" s="19" t="n">
        <f aca="false">SUM($B$3:B28)</f>
        <v>548179871.37994</v>
      </c>
      <c r="P28" s="20" t="n">
        <f aca="false">IFERROR(N28/O28,0)</f>
        <v>0.346754338697442</v>
      </c>
    </row>
    <row r="29" customFormat="false" ht="15" hidden="false" customHeight="false" outlineLevel="0" collapsed="false">
      <c r="A29" s="40" t="n">
        <v>46292</v>
      </c>
      <c r="B29" s="19" t="n">
        <f aca="false">SUMIFS(METAS_DIA!$D$2:$D$541,METAS_DIA!$A$2:$A$541,$A29,METAS_DIA!$B$2:$B$541,"&lt;&gt;MIXTO")</f>
        <v>13039740.50594</v>
      </c>
      <c r="C29" s="19" t="n">
        <f aca="false">SUMIFS(DIARIO!$D$2:$D$171,DIARIO!$A$2:$A$171,$A29,DIARIO!$B$2:$B$171,"&lt;&gt;MIXTO")</f>
        <v>0</v>
      </c>
      <c r="D29" s="20" t="n">
        <f aca="false">IFERROR(C29/B29,0)</f>
        <v>0</v>
      </c>
      <c r="E29" s="21" t="n">
        <f aca="false">SUMIFS(METAS_DIA!$E$2:$E$541,METAS_DIA!$A$2:$A$541,$A29,METAS_DIA!$B$2:$B$541,"&lt;&gt;MIXTO")</f>
        <v>1146.828233175</v>
      </c>
      <c r="F29" s="21" t="n">
        <f aca="false">SUMIFS(DIARIO!$E$2:$E$171,DIARIO!$A$2:$A$171,$A29,DIARIO!$B$2:$B$171,"&lt;&gt;MIXTO")</f>
        <v>0</v>
      </c>
      <c r="G29" s="19" t="n">
        <f aca="false">IFERROR(C29/F29,0)</f>
        <v>0</v>
      </c>
      <c r="H29" s="37" t="n">
        <f aca="false">SUMIFS(DIARIO!$F$2:$F$171,DIARIO!$A$2:$A$171,$A29,DIARIO!$B$2:$B$171,"&lt;&gt;MIXTO")</f>
        <v>0</v>
      </c>
      <c r="I29" s="19" t="n">
        <f aca="false">IFERROR($C29/H29,0)</f>
        <v>0</v>
      </c>
      <c r="J29" s="37" t="n">
        <f aca="false">SUMIFS(DIARIO!$G$2:$G$171,DIARIO!$A$2:$A$171,$A29,DIARIO!$B$2:$B$171,"&lt;&gt;MIXTO")</f>
        <v>0</v>
      </c>
      <c r="K29" s="19" t="n">
        <f aca="false">IFERROR($C29/J29,0)</f>
        <v>0</v>
      </c>
      <c r="L29" s="37" t="n">
        <f aca="false">SUMIFS(DIARIO!$H$2:$H$171,DIARIO!$A$2:$A$171,$A29,DIARIO!$B$2:$B$171,"&lt;&gt;MIXTO")</f>
        <v>0</v>
      </c>
      <c r="M29" s="19" t="n">
        <f aca="false">IFERROR($C29/L29,0)</f>
        <v>0</v>
      </c>
      <c r="N29" s="19" t="n">
        <f aca="false">SUM($C$3:C29)</f>
        <v>190083748.7876</v>
      </c>
      <c r="O29" s="19" t="n">
        <f aca="false">SUM($B$3:B29)</f>
        <v>561219611.88588</v>
      </c>
      <c r="P29" s="20" t="n">
        <f aca="false">IFERROR(N29/O29,0)</f>
        <v>0.338697623464827</v>
      </c>
    </row>
    <row r="30" customFormat="false" ht="15" hidden="false" customHeight="false" outlineLevel="0" collapsed="false">
      <c r="A30" s="40" t="n">
        <v>46293</v>
      </c>
      <c r="B30" s="19" t="n">
        <f aca="false">SUMIFS(METAS_DIA!$D$2:$D$541,METAS_DIA!$A$2:$A$541,$A30,METAS_DIA!$B$2:$B$541,"&lt;&gt;MIXTO")</f>
        <v>29918743.14505</v>
      </c>
      <c r="C30" s="19" t="n">
        <f aca="false">SUMIFS(DIARIO!$D$2:$D$171,DIARIO!$A$2:$A$171,$A30,DIARIO!$B$2:$B$171,"&lt;&gt;MIXTO")</f>
        <v>0</v>
      </c>
      <c r="D30" s="20" t="n">
        <f aca="false">IFERROR(C30/B30,0)</f>
        <v>0</v>
      </c>
      <c r="E30" s="21" t="n">
        <f aca="false">SUMIFS(METAS_DIA!$E$2:$E$541,METAS_DIA!$A$2:$A$541,$A30,METAS_DIA!$B$2:$B$541,"&lt;&gt;MIXTO")</f>
        <v>2617.531807313</v>
      </c>
      <c r="F30" s="21" t="n">
        <f aca="false">SUMIFS(DIARIO!$E$2:$E$171,DIARIO!$A$2:$A$171,$A30,DIARIO!$B$2:$B$171,"&lt;&gt;MIXTO")</f>
        <v>0</v>
      </c>
      <c r="G30" s="19" t="n">
        <f aca="false">IFERROR(C30/F30,0)</f>
        <v>0</v>
      </c>
      <c r="H30" s="37" t="n">
        <f aca="false">SUMIFS(DIARIO!$F$2:$F$171,DIARIO!$A$2:$A$171,$A30,DIARIO!$B$2:$B$171,"&lt;&gt;MIXTO")</f>
        <v>0</v>
      </c>
      <c r="I30" s="19" t="n">
        <f aca="false">IFERROR($C30/H30,0)</f>
        <v>0</v>
      </c>
      <c r="J30" s="37" t="n">
        <f aca="false">SUMIFS(DIARIO!$G$2:$G$171,DIARIO!$A$2:$A$171,$A30,DIARIO!$B$2:$B$171,"&lt;&gt;MIXTO")</f>
        <v>0</v>
      </c>
      <c r="K30" s="19" t="n">
        <f aca="false">IFERROR($C30/J30,0)</f>
        <v>0</v>
      </c>
      <c r="L30" s="37" t="n">
        <f aca="false">SUMIFS(DIARIO!$H$2:$H$171,DIARIO!$A$2:$A$171,$A30,DIARIO!$B$2:$B$171,"&lt;&gt;MIXTO")</f>
        <v>0</v>
      </c>
      <c r="M30" s="19" t="n">
        <f aca="false">IFERROR($C30/L30,0)</f>
        <v>0</v>
      </c>
      <c r="N30" s="19" t="n">
        <f aca="false">SUM($C$3:C30)</f>
        <v>190083748.7876</v>
      </c>
      <c r="O30" s="19" t="n">
        <f aca="false">SUM($B$3:B30)</f>
        <v>591138355.03093</v>
      </c>
      <c r="P30" s="20" t="n">
        <f aca="false">IFERROR(N30/O30,0)</f>
        <v>0.321555431431368</v>
      </c>
    </row>
    <row r="31" customFormat="false" ht="15" hidden="false" customHeight="false" outlineLevel="0" collapsed="false">
      <c r="A31" s="40" t="n">
        <v>46294</v>
      </c>
      <c r="B31" s="19" t="n">
        <f aca="false">SUMIFS(METAS_DIA!$D$2:$D$541,METAS_DIA!$A$2:$A$541,$A31,METAS_DIA!$B$2:$B$541,"&lt;&gt;MIXTO")</f>
        <v>27836972.79389</v>
      </c>
      <c r="C31" s="19" t="n">
        <f aca="false">SUMIFS(DIARIO!$D$2:$D$171,DIARIO!$A$2:$A$171,$A31,DIARIO!$B$2:$B$171,"&lt;&gt;MIXTO")</f>
        <v>0</v>
      </c>
      <c r="D31" s="20" t="n">
        <f aca="false">IFERROR(C31/B31,0)</f>
        <v>0</v>
      </c>
      <c r="E31" s="21" t="n">
        <f aca="false">SUMIFS(METAS_DIA!$E$2:$E$541,METAS_DIA!$A$2:$A$541,$A31,METAS_DIA!$B$2:$B$541,"&lt;&gt;MIXTO")</f>
        <v>2414.417164814</v>
      </c>
      <c r="F31" s="21" t="n">
        <f aca="false">SUMIFS(DIARIO!$E$2:$E$171,DIARIO!$A$2:$A$171,$A31,DIARIO!$B$2:$B$171,"&lt;&gt;MIXTO")</f>
        <v>0</v>
      </c>
      <c r="G31" s="19" t="n">
        <f aca="false">IFERROR(C31/F31,0)</f>
        <v>0</v>
      </c>
      <c r="H31" s="37" t="n">
        <f aca="false">SUMIFS(DIARIO!$F$2:$F$171,DIARIO!$A$2:$A$171,$A31,DIARIO!$B$2:$B$171,"&lt;&gt;MIXTO")</f>
        <v>0</v>
      </c>
      <c r="I31" s="19" t="n">
        <f aca="false">IFERROR($C31/H31,0)</f>
        <v>0</v>
      </c>
      <c r="J31" s="37" t="n">
        <f aca="false">SUMIFS(DIARIO!$G$2:$G$171,DIARIO!$A$2:$A$171,$A31,DIARIO!$B$2:$B$171,"&lt;&gt;MIXTO")</f>
        <v>0</v>
      </c>
      <c r="K31" s="19" t="n">
        <f aca="false">IFERROR($C31/J31,0)</f>
        <v>0</v>
      </c>
      <c r="L31" s="37" t="n">
        <f aca="false">SUMIFS(DIARIO!$H$2:$H$171,DIARIO!$A$2:$A$171,$A31,DIARIO!$B$2:$B$171,"&lt;&gt;MIXTO")</f>
        <v>0</v>
      </c>
      <c r="M31" s="19" t="n">
        <f aca="false">IFERROR($C31/L31,0)</f>
        <v>0</v>
      </c>
      <c r="N31" s="19" t="n">
        <f aca="false">SUM($C$3:C31)</f>
        <v>190083748.7876</v>
      </c>
      <c r="O31" s="19" t="n">
        <f aca="false">SUM($B$3:B31)</f>
        <v>618975327.82482</v>
      </c>
      <c r="P31" s="20" t="n">
        <f aca="false">IFERROR(N31/O31,0)</f>
        <v>0.307094225315224</v>
      </c>
    </row>
    <row r="32" customFormat="false" ht="15" hidden="false" customHeight="false" outlineLevel="0" collapsed="false">
      <c r="A32" s="40" t="n">
        <v>46295</v>
      </c>
      <c r="B32" s="19" t="n">
        <f aca="false">SUMIFS(METAS_DIA!$D$2:$D$541,METAS_DIA!$A$2:$A$541,$A32,METAS_DIA!$B$2:$B$541,"&lt;&gt;MIXTO")</f>
        <v>25046346.17388</v>
      </c>
      <c r="C32" s="19" t="n">
        <f aca="false">SUMIFS(DIARIO!$D$2:$D$171,DIARIO!$A$2:$A$171,$A32,DIARIO!$B$2:$B$171,"&lt;&gt;MIXTO")</f>
        <v>0</v>
      </c>
      <c r="D32" s="20" t="n">
        <f aca="false">IFERROR(C32/B32,0)</f>
        <v>0</v>
      </c>
      <c r="E32" s="21" t="n">
        <f aca="false">SUMIFS(METAS_DIA!$E$2:$E$541,METAS_DIA!$A$2:$A$541,$A32,METAS_DIA!$B$2:$B$541,"&lt;&gt;MIXTO")</f>
        <v>2183.31946878</v>
      </c>
      <c r="F32" s="21" t="n">
        <f aca="false">SUMIFS(DIARIO!$E$2:$E$171,DIARIO!$A$2:$A$171,$A32,DIARIO!$B$2:$B$171,"&lt;&gt;MIXTO")</f>
        <v>0</v>
      </c>
      <c r="G32" s="19" t="n">
        <f aca="false">IFERROR(C32/F32,0)</f>
        <v>0</v>
      </c>
      <c r="H32" s="37" t="n">
        <f aca="false">SUMIFS(DIARIO!$F$2:$F$171,DIARIO!$A$2:$A$171,$A32,DIARIO!$B$2:$B$171,"&lt;&gt;MIXTO")</f>
        <v>0</v>
      </c>
      <c r="I32" s="19" t="n">
        <f aca="false">IFERROR($C32/H32,0)</f>
        <v>0</v>
      </c>
      <c r="J32" s="37" t="n">
        <f aca="false">SUMIFS(DIARIO!$G$2:$G$171,DIARIO!$A$2:$A$171,$A32,DIARIO!$B$2:$B$171,"&lt;&gt;MIXTO")</f>
        <v>0</v>
      </c>
      <c r="K32" s="19" t="n">
        <f aca="false">IFERROR($C32/J32,0)</f>
        <v>0</v>
      </c>
      <c r="L32" s="37" t="n">
        <f aca="false">SUMIFS(DIARIO!$H$2:$H$171,DIARIO!$A$2:$A$171,$A32,DIARIO!$B$2:$B$171,"&lt;&gt;MIXTO")</f>
        <v>0</v>
      </c>
      <c r="M32" s="19" t="n">
        <f aca="false">IFERROR($C32/L32,0)</f>
        <v>0</v>
      </c>
      <c r="N32" s="19" t="n">
        <f aca="false">SUM($C$3:C32)</f>
        <v>190083748.7876</v>
      </c>
      <c r="O32" s="19" t="n">
        <f aca="false">SUM($B$3:B32)</f>
        <v>644021673.9987</v>
      </c>
      <c r="P32" s="20" t="n">
        <f aca="false">IFERROR(N32/O32,0)</f>
        <v>0.295151167207431</v>
      </c>
    </row>
    <row r="33" customFormat="false" ht="15" hidden="false" customHeight="false" outlineLevel="0" collapsed="false">
      <c r="A33" s="22" t="s">
        <v>98</v>
      </c>
      <c r="B33" s="23" t="n">
        <f aca="false">SUM(B3:B32)</f>
        <v>644021673.9987</v>
      </c>
      <c r="C33" s="23" t="n">
        <f aca="false">SUM(C3:C32)</f>
        <v>190083748.7876</v>
      </c>
      <c r="D33" s="24" t="n">
        <f aca="false">IFERROR(C33/B33,0)</f>
        <v>0.295151167207431</v>
      </c>
      <c r="E33" s="25" t="n">
        <f aca="false">SUM(E3:E32)</f>
        <v>56232.181778985</v>
      </c>
      <c r="F33" s="25" t="n">
        <f aca="false">SUM(F3:F32)</f>
        <v>10091</v>
      </c>
      <c r="G33" s="23" t="n">
        <f aca="false">IFERROR(C33/F33,0)</f>
        <v>18836.9585559013</v>
      </c>
      <c r="H33" s="38" t="n">
        <f aca="false">SUM(H3:H32)</f>
        <v>8002</v>
      </c>
      <c r="I33" s="23" t="n">
        <f aca="false">IFERROR($C33/H33,0)</f>
        <v>23754.5299659585</v>
      </c>
      <c r="J33" s="38" t="n">
        <f aca="false">SUM(J3:J32)</f>
        <v>4088</v>
      </c>
      <c r="K33" s="23" t="n">
        <f aca="false">IFERROR($C33/J33,0)</f>
        <v>46497.9816016634</v>
      </c>
      <c r="L33" s="38" t="n">
        <f aca="false">SUM(L3:L32)</f>
        <v>3425</v>
      </c>
      <c r="M33" s="23" t="n">
        <f aca="false">IFERROR($C33/L33,0)</f>
        <v>55498.9047555037</v>
      </c>
      <c r="N33" s="22"/>
      <c r="O33" s="22"/>
      <c r="P33" s="22"/>
    </row>
    <row r="34" customFormat="false" ht="15" hidden="false" customHeight="false" outlineLevel="0" collapsed="false">
      <c r="A34" s="22" t="s">
        <v>99</v>
      </c>
      <c r="B34" s="23" t="n">
        <f aca="false">B33</f>
        <v>644021673.9987</v>
      </c>
      <c r="C34" s="23" t="n">
        <f aca="false">C33*PARAMETROS!$B$7</f>
        <v>712814057.9535</v>
      </c>
      <c r="D34" s="24" t="n">
        <f aca="false">IFERROR(C34/B34,0)</f>
        <v>1.10681687702787</v>
      </c>
      <c r="E34" s="25" t="n">
        <f aca="false">E33</f>
        <v>56232.181778985</v>
      </c>
      <c r="F34" s="25" t="n">
        <f aca="false">F33*PARAMETROS!$B$7</f>
        <v>37841.25</v>
      </c>
      <c r="G34" s="23" t="n">
        <f aca="false">IFERROR(C34/F34,0)</f>
        <v>18836.9585559013</v>
      </c>
      <c r="H34" s="38" t="n">
        <f aca="false">H33*PARAMETROS!$B$7</f>
        <v>30007.5</v>
      </c>
      <c r="I34" s="23" t="n">
        <f aca="false">IFERROR($C34/H34,0)</f>
        <v>23754.5299659585</v>
      </c>
      <c r="J34" s="38" t="n">
        <f aca="false">J33*PARAMETROS!$B$7</f>
        <v>15330</v>
      </c>
      <c r="K34" s="23" t="n">
        <f aca="false">IFERROR($C34/J34,0)</f>
        <v>46497.9816016634</v>
      </c>
      <c r="L34" s="38" t="n">
        <f aca="false">L33*PARAMETROS!$B$7</f>
        <v>12843.75</v>
      </c>
      <c r="M34" s="23" t="n">
        <f aca="false">IFERROR($C34/L34,0)</f>
        <v>55498.9047555037</v>
      </c>
      <c r="N34" s="22"/>
      <c r="O34" s="22"/>
      <c r="P34" s="22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32" t="s">
        <v>100</v>
      </c>
      <c r="B1" s="32"/>
      <c r="C1" s="32"/>
      <c r="D1" s="32"/>
    </row>
    <row r="2" customFormat="false" ht="15" hidden="false" customHeight="false" outlineLevel="0" collapsed="false">
      <c r="A2" s="33" t="s">
        <v>101</v>
      </c>
    </row>
    <row r="4" customFormat="false" ht="15" hidden="false" customHeight="false" outlineLevel="0" collapsed="false">
      <c r="A4" s="34" t="s">
        <v>102</v>
      </c>
      <c r="B4" s="34" t="s">
        <v>103</v>
      </c>
      <c r="C4" s="34" t="s">
        <v>104</v>
      </c>
      <c r="D4" s="34" t="s">
        <v>105</v>
      </c>
    </row>
    <row r="5" customFormat="false" ht="15" hidden="false" customHeight="false" outlineLevel="0" collapsed="false">
      <c r="A5" s="41" t="s">
        <v>26</v>
      </c>
      <c r="B5" s="41" t="s">
        <v>72</v>
      </c>
      <c r="C5" s="41" t="s">
        <v>106</v>
      </c>
      <c r="D5" s="41" t="s">
        <v>107</v>
      </c>
    </row>
    <row r="6" customFormat="false" ht="15" hidden="false" customHeight="false" outlineLevel="0" collapsed="false">
      <c r="A6" s="41" t="s">
        <v>26</v>
      </c>
      <c r="B6" s="41" t="s">
        <v>51</v>
      </c>
      <c r="C6" s="41" t="s">
        <v>106</v>
      </c>
      <c r="D6" s="41" t="s">
        <v>107</v>
      </c>
    </row>
    <row r="7" customFormat="false" ht="15" hidden="false" customHeight="false" outlineLevel="0" collapsed="false">
      <c r="A7" s="41" t="s">
        <v>26</v>
      </c>
      <c r="B7" s="41" t="s">
        <v>59</v>
      </c>
      <c r="C7" s="41" t="s">
        <v>106</v>
      </c>
      <c r="D7" s="41" t="s">
        <v>107</v>
      </c>
    </row>
    <row r="8" customFormat="false" ht="15" hidden="false" customHeight="false" outlineLevel="0" collapsed="false">
      <c r="A8" s="41" t="s">
        <v>108</v>
      </c>
      <c r="B8" s="41" t="s">
        <v>51</v>
      </c>
      <c r="C8" s="41" t="s">
        <v>106</v>
      </c>
      <c r="D8" s="41" t="s">
        <v>107</v>
      </c>
    </row>
    <row r="9" customFormat="false" ht="15" hidden="false" customHeight="false" outlineLevel="0" collapsed="false">
      <c r="A9" s="41" t="s">
        <v>108</v>
      </c>
      <c r="B9" s="41" t="s">
        <v>59</v>
      </c>
      <c r="C9" s="41" t="s">
        <v>106</v>
      </c>
      <c r="D9" s="41" t="s">
        <v>107</v>
      </c>
    </row>
    <row r="10" customFormat="false" ht="15" hidden="false" customHeight="false" outlineLevel="0" collapsed="false">
      <c r="A10" s="42" t="s">
        <v>108</v>
      </c>
      <c r="B10" s="42" t="s">
        <v>54</v>
      </c>
      <c r="C10" s="42" t="s">
        <v>109</v>
      </c>
      <c r="D10" s="42" t="s">
        <v>110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32" t="s">
        <v>111</v>
      </c>
      <c r="B1" s="32"/>
      <c r="C1" s="32"/>
    </row>
    <row r="3" customFormat="false" ht="15" hidden="false" customHeight="false" outlineLevel="0" collapsed="false">
      <c r="A3" s="43" t="s">
        <v>112</v>
      </c>
      <c r="B3" s="44" t="s">
        <v>113</v>
      </c>
    </row>
    <row r="4" customFormat="false" ht="15" hidden="false" customHeight="false" outlineLevel="0" collapsed="false">
      <c r="A4" s="43" t="s">
        <v>114</v>
      </c>
      <c r="B4" s="44" t="s">
        <v>115</v>
      </c>
    </row>
    <row r="5" customFormat="false" ht="15" hidden="false" customHeight="false" outlineLevel="0" collapsed="false">
      <c r="A5" s="43" t="s">
        <v>116</v>
      </c>
      <c r="B5" s="45" t="n">
        <v>8</v>
      </c>
      <c r="C5" s="33" t="s">
        <v>117</v>
      </c>
    </row>
    <row r="6" customFormat="false" ht="15" hidden="false" customHeight="false" outlineLevel="0" collapsed="false">
      <c r="A6" s="43" t="s">
        <v>118</v>
      </c>
      <c r="B6" s="45" t="n">
        <v>30</v>
      </c>
    </row>
    <row r="7" customFormat="false" ht="15" hidden="false" customHeight="false" outlineLevel="0" collapsed="false">
      <c r="A7" s="43" t="s">
        <v>119</v>
      </c>
      <c r="B7" s="46" t="n">
        <f aca="false">B6/B5</f>
        <v>3.75</v>
      </c>
      <c r="C7" s="33" t="s">
        <v>120</v>
      </c>
    </row>
    <row r="8" customFormat="false" ht="15" hidden="false" customHeight="false" outlineLevel="0" collapsed="false">
      <c r="A8" s="43" t="s">
        <v>121</v>
      </c>
      <c r="B8" s="45" t="n">
        <v>0.5</v>
      </c>
    </row>
    <row r="9" customFormat="false" ht="15" hidden="false" customHeight="false" outlineLevel="0" collapsed="false">
      <c r="A9" s="43" t="s">
        <v>122</v>
      </c>
      <c r="B9" s="47" t="n">
        <v>46273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8" min="6" style="0" width="11"/>
  </cols>
  <sheetData>
    <row r="1" customFormat="false" ht="15" hidden="false" customHeight="false" outlineLevel="0" collapsed="false">
      <c r="A1" s="34" t="s">
        <v>123</v>
      </c>
      <c r="B1" s="34" t="s">
        <v>102</v>
      </c>
      <c r="C1" s="34" t="s">
        <v>103</v>
      </c>
      <c r="D1" s="34" t="s">
        <v>124</v>
      </c>
      <c r="E1" s="34" t="s">
        <v>125</v>
      </c>
      <c r="F1" s="34" t="s">
        <v>126</v>
      </c>
      <c r="G1" s="34" t="s">
        <v>127</v>
      </c>
      <c r="H1" s="34" t="s">
        <v>128</v>
      </c>
    </row>
    <row r="2" customFormat="false" ht="15" hidden="false" customHeight="false" outlineLevel="0" collapsed="false">
      <c r="A2" s="48" t="n">
        <v>46266</v>
      </c>
      <c r="B2" s="49" t="s">
        <v>26</v>
      </c>
      <c r="C2" s="49" t="s">
        <v>72</v>
      </c>
      <c r="D2" s="19" t="n">
        <v>0</v>
      </c>
      <c r="E2" s="21" t="n">
        <v>0</v>
      </c>
      <c r="F2" s="37" t="n">
        <v>3</v>
      </c>
      <c r="G2" s="37" t="n">
        <v>0</v>
      </c>
      <c r="H2" s="37" t="n">
        <v>0</v>
      </c>
    </row>
    <row r="3" customFormat="false" ht="15" hidden="false" customHeight="false" outlineLevel="0" collapsed="false">
      <c r="A3" s="48" t="n">
        <v>46266</v>
      </c>
      <c r="B3" s="49" t="s">
        <v>26</v>
      </c>
      <c r="C3" s="49" t="s">
        <v>51</v>
      </c>
      <c r="D3" s="19" t="n">
        <v>0</v>
      </c>
      <c r="E3" s="21" t="n">
        <v>0</v>
      </c>
      <c r="F3" s="37" t="n">
        <v>99</v>
      </c>
      <c r="G3" s="37" t="n">
        <v>63</v>
      </c>
      <c r="H3" s="37" t="n">
        <v>28</v>
      </c>
    </row>
    <row r="4" customFormat="false" ht="15" hidden="false" customHeight="false" outlineLevel="0" collapsed="false">
      <c r="A4" s="48" t="n">
        <v>46266</v>
      </c>
      <c r="B4" s="49" t="s">
        <v>26</v>
      </c>
      <c r="C4" s="49" t="s">
        <v>52</v>
      </c>
      <c r="D4" s="19" t="n">
        <v>221447.6334</v>
      </c>
      <c r="E4" s="21" t="n">
        <v>31</v>
      </c>
      <c r="F4" s="37" t="n">
        <v>4</v>
      </c>
      <c r="G4" s="37" t="n">
        <v>6</v>
      </c>
      <c r="H4" s="37" t="n">
        <v>7</v>
      </c>
    </row>
    <row r="5" customFormat="false" ht="15" hidden="false" customHeight="false" outlineLevel="0" collapsed="false">
      <c r="A5" s="48" t="n">
        <v>46266</v>
      </c>
      <c r="B5" s="49" t="s">
        <v>26</v>
      </c>
      <c r="C5" s="49" t="s">
        <v>53</v>
      </c>
      <c r="D5" s="19" t="n">
        <v>37640.80215</v>
      </c>
      <c r="E5" s="21" t="n">
        <v>28.5</v>
      </c>
      <c r="F5" s="37" t="n">
        <v>9.5</v>
      </c>
      <c r="G5" s="37" t="n">
        <v>5</v>
      </c>
      <c r="H5" s="37" t="n">
        <v>1</v>
      </c>
    </row>
    <row r="6" customFormat="false" ht="15" hidden="false" customHeight="false" outlineLevel="0" collapsed="false">
      <c r="A6" s="48" t="n">
        <v>46266</v>
      </c>
      <c r="B6" s="49" t="s">
        <v>26</v>
      </c>
      <c r="C6" s="49" t="s">
        <v>22</v>
      </c>
      <c r="D6" s="19" t="n">
        <v>1038708.3609</v>
      </c>
      <c r="E6" s="21" t="n">
        <v>122</v>
      </c>
      <c r="F6" s="37" t="n">
        <v>45</v>
      </c>
      <c r="G6" s="37" t="n">
        <v>31</v>
      </c>
      <c r="H6" s="37" t="n">
        <v>24</v>
      </c>
    </row>
    <row r="7" customFormat="false" ht="15" hidden="false" customHeight="false" outlineLevel="0" collapsed="false">
      <c r="A7" s="48" t="n">
        <v>46266</v>
      </c>
      <c r="B7" s="49" t="s">
        <v>26</v>
      </c>
      <c r="C7" s="49" t="s">
        <v>55</v>
      </c>
      <c r="D7" s="19" t="n">
        <v>2312273.09</v>
      </c>
      <c r="E7" s="21" t="n">
        <v>111</v>
      </c>
      <c r="F7" s="37" t="n">
        <v>97</v>
      </c>
      <c r="G7" s="37" t="n">
        <v>87</v>
      </c>
      <c r="H7" s="37" t="n">
        <v>22</v>
      </c>
    </row>
    <row r="8" customFormat="false" ht="15" hidden="false" customHeight="false" outlineLevel="0" collapsed="false">
      <c r="A8" s="48" t="n">
        <v>46266</v>
      </c>
      <c r="B8" s="49" t="s">
        <v>26</v>
      </c>
      <c r="C8" s="49" t="s">
        <v>56</v>
      </c>
      <c r="D8" s="19" t="n">
        <v>0</v>
      </c>
      <c r="E8" s="21" t="n">
        <v>0</v>
      </c>
      <c r="F8" s="37" t="n">
        <v>0.5</v>
      </c>
      <c r="G8" s="37" t="n">
        <v>0</v>
      </c>
      <c r="H8" s="37" t="n">
        <v>6</v>
      </c>
    </row>
    <row r="9" customFormat="false" ht="15" hidden="false" customHeight="false" outlineLevel="0" collapsed="false">
      <c r="A9" s="48" t="n">
        <v>46266</v>
      </c>
      <c r="B9" s="49" t="s">
        <v>26</v>
      </c>
      <c r="C9" s="49" t="s">
        <v>57</v>
      </c>
      <c r="D9" s="19" t="n">
        <v>11648697.42</v>
      </c>
      <c r="E9" s="21" t="n">
        <v>209</v>
      </c>
      <c r="F9" s="37" t="n">
        <v>174</v>
      </c>
      <c r="G9" s="37" t="n">
        <v>146</v>
      </c>
      <c r="H9" s="37" t="n">
        <v>150</v>
      </c>
    </row>
    <row r="10" customFormat="false" ht="15" hidden="false" customHeight="false" outlineLevel="0" collapsed="false">
      <c r="A10" s="48" t="n">
        <v>46266</v>
      </c>
      <c r="B10" s="49" t="s">
        <v>26</v>
      </c>
      <c r="C10" s="49" t="s">
        <v>58</v>
      </c>
      <c r="D10" s="19" t="n">
        <v>0</v>
      </c>
      <c r="E10" s="21" t="n">
        <v>0</v>
      </c>
      <c r="F10" s="37" t="n">
        <v>5</v>
      </c>
      <c r="G10" s="37" t="n">
        <v>15</v>
      </c>
      <c r="H10" s="37" t="n">
        <v>61.5</v>
      </c>
    </row>
    <row r="11" customFormat="false" ht="15" hidden="false" customHeight="false" outlineLevel="0" collapsed="false">
      <c r="A11" s="48" t="n">
        <v>46266</v>
      </c>
      <c r="B11" s="49" t="s">
        <v>26</v>
      </c>
      <c r="C11" s="49" t="s">
        <v>59</v>
      </c>
      <c r="D11" s="19" t="n">
        <v>0</v>
      </c>
      <c r="E11" s="21" t="n">
        <v>0</v>
      </c>
      <c r="F11" s="37" t="n">
        <v>6</v>
      </c>
      <c r="G11" s="37" t="n">
        <v>0</v>
      </c>
      <c r="H11" s="37" t="n">
        <v>0</v>
      </c>
    </row>
    <row r="12" customFormat="false" ht="15" hidden="false" customHeight="false" outlineLevel="0" collapsed="false">
      <c r="A12" s="48" t="n">
        <v>46266</v>
      </c>
      <c r="B12" s="49" t="s">
        <v>27</v>
      </c>
      <c r="C12" s="49" t="s">
        <v>53</v>
      </c>
      <c r="D12" s="19" t="n">
        <v>75281.6043</v>
      </c>
      <c r="E12" s="21" t="n">
        <v>57</v>
      </c>
      <c r="F12" s="37" t="n">
        <v>19</v>
      </c>
      <c r="G12" s="37" t="n">
        <v>10</v>
      </c>
      <c r="H12" s="37" t="n">
        <v>2</v>
      </c>
    </row>
    <row r="13" customFormat="false" ht="15" hidden="false" customHeight="false" outlineLevel="0" collapsed="false">
      <c r="A13" s="48" t="n">
        <v>46266</v>
      </c>
      <c r="B13" s="49" t="s">
        <v>27</v>
      </c>
      <c r="C13" s="49" t="s">
        <v>56</v>
      </c>
      <c r="D13" s="19" t="n">
        <v>0</v>
      </c>
      <c r="E13" s="21" t="n">
        <v>0</v>
      </c>
      <c r="F13" s="37" t="n">
        <v>1</v>
      </c>
      <c r="G13" s="37" t="n">
        <v>0</v>
      </c>
      <c r="H13" s="37" t="n">
        <v>12</v>
      </c>
    </row>
    <row r="14" customFormat="false" ht="15" hidden="false" customHeight="false" outlineLevel="0" collapsed="false">
      <c r="A14" s="48" t="n">
        <v>46266</v>
      </c>
      <c r="B14" s="49" t="s">
        <v>27</v>
      </c>
      <c r="C14" s="49" t="s">
        <v>58</v>
      </c>
      <c r="D14" s="19" t="n">
        <v>0</v>
      </c>
      <c r="E14" s="21" t="n">
        <v>0</v>
      </c>
      <c r="F14" s="37" t="n">
        <v>10</v>
      </c>
      <c r="G14" s="37" t="n">
        <v>30</v>
      </c>
      <c r="H14" s="37" t="n">
        <v>123</v>
      </c>
    </row>
    <row r="15" customFormat="false" ht="15" hidden="false" customHeight="false" outlineLevel="0" collapsed="false">
      <c r="A15" s="48" t="n">
        <v>46266</v>
      </c>
      <c r="B15" s="49" t="s">
        <v>108</v>
      </c>
      <c r="C15" s="49" t="s">
        <v>51</v>
      </c>
      <c r="D15" s="19" t="n">
        <v>0</v>
      </c>
      <c r="E15" s="21" t="n">
        <v>0</v>
      </c>
      <c r="F15" s="37" t="n">
        <v>77</v>
      </c>
      <c r="G15" s="37" t="n">
        <v>36</v>
      </c>
      <c r="H15" s="37" t="n">
        <v>24</v>
      </c>
    </row>
    <row r="16" customFormat="false" ht="15" hidden="false" customHeight="false" outlineLevel="0" collapsed="false">
      <c r="A16" s="48" t="n">
        <v>46266</v>
      </c>
      <c r="B16" s="49" t="s">
        <v>108</v>
      </c>
      <c r="C16" s="49" t="s">
        <v>52</v>
      </c>
      <c r="D16" s="19" t="n">
        <v>34628.9706</v>
      </c>
      <c r="E16" s="21" t="n">
        <v>5</v>
      </c>
      <c r="F16" s="37" t="n">
        <v>4</v>
      </c>
      <c r="G16" s="37" t="n">
        <v>3</v>
      </c>
      <c r="H16" s="37" t="n">
        <v>3</v>
      </c>
    </row>
    <row r="17" customFormat="false" ht="15" hidden="false" customHeight="false" outlineLevel="0" collapsed="false">
      <c r="A17" s="48" t="n">
        <v>46266</v>
      </c>
      <c r="B17" s="49" t="s">
        <v>108</v>
      </c>
      <c r="C17" s="49" t="s">
        <v>53</v>
      </c>
      <c r="D17" s="19" t="n">
        <v>37640.80215</v>
      </c>
      <c r="E17" s="21" t="n">
        <v>28.5</v>
      </c>
      <c r="F17" s="37" t="n">
        <v>9.5</v>
      </c>
      <c r="G17" s="37" t="n">
        <v>5</v>
      </c>
      <c r="H17" s="37" t="n">
        <v>1</v>
      </c>
    </row>
    <row r="18" customFormat="false" ht="15" hidden="false" customHeight="false" outlineLevel="0" collapsed="false">
      <c r="A18" s="48" t="n">
        <v>46266</v>
      </c>
      <c r="B18" s="49" t="s">
        <v>108</v>
      </c>
      <c r="C18" s="49" t="s">
        <v>22</v>
      </c>
      <c r="D18" s="19" t="n">
        <v>685487.187</v>
      </c>
      <c r="E18" s="21" t="n">
        <v>90</v>
      </c>
      <c r="F18" s="37" t="n">
        <v>61</v>
      </c>
      <c r="G18" s="37" t="n">
        <v>5</v>
      </c>
      <c r="H18" s="37" t="n">
        <v>19</v>
      </c>
    </row>
    <row r="19" customFormat="false" ht="15" hidden="false" customHeight="false" outlineLevel="0" collapsed="false">
      <c r="A19" s="48" t="n">
        <v>46266</v>
      </c>
      <c r="B19" s="49" t="s">
        <v>108</v>
      </c>
      <c r="C19" s="49" t="s">
        <v>55</v>
      </c>
      <c r="D19" s="19" t="n">
        <v>0</v>
      </c>
      <c r="E19" s="21" t="n">
        <v>0</v>
      </c>
      <c r="F19" s="37" t="n">
        <v>0</v>
      </c>
      <c r="G19" s="37" t="n">
        <v>2</v>
      </c>
      <c r="H19" s="37" t="n">
        <v>9</v>
      </c>
    </row>
    <row r="20" customFormat="false" ht="15" hidden="false" customHeight="false" outlineLevel="0" collapsed="false">
      <c r="A20" s="48" t="n">
        <v>46266</v>
      </c>
      <c r="B20" s="49" t="s">
        <v>108</v>
      </c>
      <c r="C20" s="49" t="s">
        <v>56</v>
      </c>
      <c r="D20" s="19" t="n">
        <v>0</v>
      </c>
      <c r="E20" s="21" t="n">
        <v>0</v>
      </c>
      <c r="F20" s="37" t="n">
        <v>0.5</v>
      </c>
      <c r="G20" s="37" t="n">
        <v>0</v>
      </c>
      <c r="H20" s="37" t="n">
        <v>6</v>
      </c>
    </row>
    <row r="21" customFormat="false" ht="15" hidden="false" customHeight="false" outlineLevel="0" collapsed="false">
      <c r="A21" s="48" t="n">
        <v>46266</v>
      </c>
      <c r="B21" s="49" t="s">
        <v>108</v>
      </c>
      <c r="C21" s="49" t="s">
        <v>57</v>
      </c>
      <c r="D21" s="19" t="n">
        <v>8973731.33</v>
      </c>
      <c r="E21" s="21" t="n">
        <v>450</v>
      </c>
      <c r="F21" s="37" t="n">
        <v>379</v>
      </c>
      <c r="G21" s="37" t="n">
        <v>164</v>
      </c>
      <c r="H21" s="37" t="n">
        <v>131</v>
      </c>
    </row>
    <row r="22" customFormat="false" ht="15" hidden="false" customHeight="false" outlineLevel="0" collapsed="false">
      <c r="A22" s="48" t="n">
        <v>46266</v>
      </c>
      <c r="B22" s="49" t="s">
        <v>108</v>
      </c>
      <c r="C22" s="49" t="s">
        <v>58</v>
      </c>
      <c r="D22" s="19" t="n">
        <v>0</v>
      </c>
      <c r="E22" s="21" t="n">
        <v>0</v>
      </c>
      <c r="F22" s="37" t="n">
        <v>5</v>
      </c>
      <c r="G22" s="37" t="n">
        <v>15</v>
      </c>
      <c r="H22" s="37" t="n">
        <v>61.5</v>
      </c>
    </row>
    <row r="23" customFormat="false" ht="15" hidden="false" customHeight="false" outlineLevel="0" collapsed="false">
      <c r="A23" s="48" t="n">
        <v>46266</v>
      </c>
      <c r="B23" s="49" t="s">
        <v>108</v>
      </c>
      <c r="C23" s="49" t="s">
        <v>59</v>
      </c>
      <c r="D23" s="19" t="n">
        <v>0</v>
      </c>
      <c r="E23" s="21" t="n">
        <v>0</v>
      </c>
      <c r="F23" s="37" t="n">
        <v>12</v>
      </c>
      <c r="G23" s="37" t="n">
        <v>2</v>
      </c>
      <c r="H23" s="37" t="n">
        <v>0</v>
      </c>
    </row>
    <row r="24" customFormat="false" ht="15" hidden="false" customHeight="false" outlineLevel="0" collapsed="false">
      <c r="A24" s="48" t="n">
        <v>46267</v>
      </c>
      <c r="B24" s="49" t="s">
        <v>26</v>
      </c>
      <c r="C24" s="49" t="s">
        <v>72</v>
      </c>
      <c r="D24" s="19" t="n">
        <v>0</v>
      </c>
      <c r="E24" s="21" t="n">
        <v>0</v>
      </c>
      <c r="F24" s="37" t="n">
        <v>1</v>
      </c>
      <c r="G24" s="37" t="n">
        <v>0</v>
      </c>
      <c r="H24" s="37" t="n">
        <v>0</v>
      </c>
    </row>
    <row r="25" customFormat="false" ht="15" hidden="false" customHeight="false" outlineLevel="0" collapsed="false">
      <c r="A25" s="48" t="n">
        <v>46267</v>
      </c>
      <c r="B25" s="49" t="s">
        <v>26</v>
      </c>
      <c r="C25" s="49" t="s">
        <v>51</v>
      </c>
      <c r="D25" s="19" t="n">
        <v>0</v>
      </c>
      <c r="E25" s="21" t="n">
        <v>0</v>
      </c>
      <c r="F25" s="37" t="n">
        <v>54</v>
      </c>
      <c r="G25" s="37" t="n">
        <v>41</v>
      </c>
      <c r="H25" s="37" t="n">
        <v>36</v>
      </c>
    </row>
    <row r="26" customFormat="false" ht="15" hidden="false" customHeight="false" outlineLevel="0" collapsed="false">
      <c r="A26" s="48" t="n">
        <v>46267</v>
      </c>
      <c r="B26" s="49" t="s">
        <v>26</v>
      </c>
      <c r="C26" s="49" t="s">
        <v>52</v>
      </c>
      <c r="D26" s="19" t="n">
        <v>194771.4111</v>
      </c>
      <c r="E26" s="21" t="n">
        <v>39</v>
      </c>
      <c r="F26" s="37" t="n">
        <v>10</v>
      </c>
      <c r="G26" s="37" t="n">
        <v>5</v>
      </c>
      <c r="H26" s="37" t="n">
        <v>3</v>
      </c>
    </row>
    <row r="27" customFormat="false" ht="15" hidden="false" customHeight="false" outlineLevel="0" collapsed="false">
      <c r="A27" s="48" t="n">
        <v>46267</v>
      </c>
      <c r="B27" s="49" t="s">
        <v>26</v>
      </c>
      <c r="C27" s="49" t="s">
        <v>53</v>
      </c>
      <c r="D27" s="19" t="n">
        <v>37059.2397</v>
      </c>
      <c r="E27" s="21" t="n">
        <v>18.5</v>
      </c>
      <c r="F27" s="37" t="n">
        <v>7.5</v>
      </c>
      <c r="G27" s="37" t="n">
        <v>2.5</v>
      </c>
      <c r="H27" s="37" t="n">
        <v>2</v>
      </c>
    </row>
    <row r="28" customFormat="false" ht="15" hidden="false" customHeight="false" outlineLevel="0" collapsed="false">
      <c r="A28" s="48" t="n">
        <v>46267</v>
      </c>
      <c r="B28" s="49" t="s">
        <v>26</v>
      </c>
      <c r="C28" s="49" t="s">
        <v>22</v>
      </c>
      <c r="D28" s="19" t="n">
        <v>840315.1869</v>
      </c>
      <c r="E28" s="21" t="n">
        <v>99</v>
      </c>
      <c r="F28" s="37" t="n">
        <v>36</v>
      </c>
      <c r="G28" s="37" t="n">
        <v>14</v>
      </c>
      <c r="H28" s="37" t="n">
        <v>24</v>
      </c>
    </row>
    <row r="29" customFormat="false" ht="15" hidden="false" customHeight="false" outlineLevel="0" collapsed="false">
      <c r="A29" s="48" t="n">
        <v>46267</v>
      </c>
      <c r="B29" s="49" t="s">
        <v>26</v>
      </c>
      <c r="C29" s="49" t="s">
        <v>55</v>
      </c>
      <c r="D29" s="19" t="n">
        <v>1615533.91</v>
      </c>
      <c r="E29" s="21" t="n">
        <v>57</v>
      </c>
      <c r="F29" s="37" t="n">
        <v>46</v>
      </c>
      <c r="G29" s="37" t="n">
        <v>43</v>
      </c>
      <c r="H29" s="37" t="n">
        <v>25</v>
      </c>
    </row>
    <row r="30" customFormat="false" ht="15" hidden="false" customHeight="false" outlineLevel="0" collapsed="false">
      <c r="A30" s="48" t="n">
        <v>46267</v>
      </c>
      <c r="B30" s="49" t="s">
        <v>26</v>
      </c>
      <c r="C30" s="49" t="s">
        <v>56</v>
      </c>
      <c r="D30" s="19" t="n">
        <v>707771.52</v>
      </c>
      <c r="E30" s="21" t="n">
        <v>38</v>
      </c>
      <c r="F30" s="37" t="n">
        <v>31</v>
      </c>
      <c r="G30" s="37" t="n">
        <v>13</v>
      </c>
      <c r="H30" s="37" t="n">
        <v>3</v>
      </c>
    </row>
    <row r="31" customFormat="false" ht="15" hidden="false" customHeight="false" outlineLevel="0" collapsed="false">
      <c r="A31" s="48" t="n">
        <v>46267</v>
      </c>
      <c r="B31" s="49" t="s">
        <v>26</v>
      </c>
      <c r="C31" s="49" t="s">
        <v>57</v>
      </c>
      <c r="D31" s="19" t="n">
        <v>7882966.24</v>
      </c>
      <c r="E31" s="21" t="n">
        <v>236</v>
      </c>
      <c r="F31" s="37" t="n">
        <v>188</v>
      </c>
      <c r="G31" s="37" t="n">
        <v>156</v>
      </c>
      <c r="H31" s="37" t="n">
        <v>135</v>
      </c>
    </row>
    <row r="32" customFormat="false" ht="15" hidden="false" customHeight="false" outlineLevel="0" collapsed="false">
      <c r="A32" s="48" t="n">
        <v>46267</v>
      </c>
      <c r="B32" s="49" t="s">
        <v>26</v>
      </c>
      <c r="C32" s="49" t="s">
        <v>58</v>
      </c>
      <c r="D32" s="19" t="n">
        <v>1251181.22</v>
      </c>
      <c r="E32" s="21" t="n">
        <v>174.5</v>
      </c>
      <c r="F32" s="37" t="n">
        <v>133.5</v>
      </c>
      <c r="G32" s="37" t="n">
        <v>55</v>
      </c>
      <c r="H32" s="37" t="n">
        <v>48.5</v>
      </c>
    </row>
    <row r="33" customFormat="false" ht="15" hidden="false" customHeight="false" outlineLevel="0" collapsed="false">
      <c r="A33" s="48" t="n">
        <v>46267</v>
      </c>
      <c r="B33" s="49" t="s">
        <v>26</v>
      </c>
      <c r="C33" s="49" t="s">
        <v>59</v>
      </c>
      <c r="D33" s="19" t="n">
        <v>0</v>
      </c>
      <c r="E33" s="21" t="n">
        <v>0</v>
      </c>
      <c r="F33" s="37" t="n">
        <v>1</v>
      </c>
      <c r="G33" s="37" t="n">
        <v>0</v>
      </c>
      <c r="H33" s="37" t="n">
        <v>0</v>
      </c>
    </row>
    <row r="34" customFormat="false" ht="15" hidden="false" customHeight="false" outlineLevel="0" collapsed="false">
      <c r="A34" s="48" t="n">
        <v>46267</v>
      </c>
      <c r="B34" s="49" t="s">
        <v>27</v>
      </c>
      <c r="C34" s="49" t="s">
        <v>53</v>
      </c>
      <c r="D34" s="19" t="n">
        <v>74118.4794</v>
      </c>
      <c r="E34" s="21" t="n">
        <v>37</v>
      </c>
      <c r="F34" s="37" t="n">
        <v>15</v>
      </c>
      <c r="G34" s="37" t="n">
        <v>5</v>
      </c>
      <c r="H34" s="37" t="n">
        <v>4</v>
      </c>
    </row>
    <row r="35" customFormat="false" ht="15" hidden="false" customHeight="false" outlineLevel="0" collapsed="false">
      <c r="A35" s="48" t="n">
        <v>46267</v>
      </c>
      <c r="B35" s="49" t="s">
        <v>27</v>
      </c>
      <c r="C35" s="49" t="s">
        <v>56</v>
      </c>
      <c r="D35" s="19" t="n">
        <v>1415543.04</v>
      </c>
      <c r="E35" s="21" t="n">
        <v>76</v>
      </c>
      <c r="F35" s="37" t="n">
        <v>62</v>
      </c>
      <c r="G35" s="37" t="n">
        <v>26</v>
      </c>
      <c r="H35" s="37" t="n">
        <v>6</v>
      </c>
    </row>
    <row r="36" customFormat="false" ht="15" hidden="false" customHeight="false" outlineLevel="0" collapsed="false">
      <c r="A36" s="48" t="n">
        <v>46267</v>
      </c>
      <c r="B36" s="49" t="s">
        <v>27</v>
      </c>
      <c r="C36" s="49" t="s">
        <v>58</v>
      </c>
      <c r="D36" s="19" t="n">
        <v>2502362.44</v>
      </c>
      <c r="E36" s="21" t="n">
        <v>349</v>
      </c>
      <c r="F36" s="37" t="n">
        <v>267</v>
      </c>
      <c r="G36" s="37" t="n">
        <v>110</v>
      </c>
      <c r="H36" s="37" t="n">
        <v>97</v>
      </c>
    </row>
    <row r="37" customFormat="false" ht="15" hidden="false" customHeight="false" outlineLevel="0" collapsed="false">
      <c r="A37" s="48" t="n">
        <v>46267</v>
      </c>
      <c r="B37" s="49" t="s">
        <v>108</v>
      </c>
      <c r="C37" s="49" t="s">
        <v>51</v>
      </c>
      <c r="D37" s="19" t="n">
        <v>0</v>
      </c>
      <c r="E37" s="21" t="n">
        <v>0</v>
      </c>
      <c r="F37" s="37" t="n">
        <v>78</v>
      </c>
      <c r="G37" s="37" t="n">
        <v>48</v>
      </c>
      <c r="H37" s="37" t="n">
        <v>29</v>
      </c>
    </row>
    <row r="38" customFormat="false" ht="15" hidden="false" customHeight="false" outlineLevel="0" collapsed="false">
      <c r="A38" s="48" t="n">
        <v>46267</v>
      </c>
      <c r="B38" s="49" t="s">
        <v>108</v>
      </c>
      <c r="C38" s="49" t="s">
        <v>52</v>
      </c>
      <c r="D38" s="19" t="n">
        <v>62269.7355</v>
      </c>
      <c r="E38" s="21" t="n">
        <v>2</v>
      </c>
      <c r="F38" s="37" t="n">
        <v>3</v>
      </c>
      <c r="G38" s="37" t="n">
        <v>2</v>
      </c>
      <c r="H38" s="37" t="n">
        <v>2</v>
      </c>
    </row>
    <row r="39" customFormat="false" ht="15" hidden="false" customHeight="false" outlineLevel="0" collapsed="false">
      <c r="A39" s="48" t="n">
        <v>46267</v>
      </c>
      <c r="B39" s="49" t="s">
        <v>108</v>
      </c>
      <c r="C39" s="49" t="s">
        <v>53</v>
      </c>
      <c r="D39" s="19" t="n">
        <v>37059.2397</v>
      </c>
      <c r="E39" s="21" t="n">
        <v>18.5</v>
      </c>
      <c r="F39" s="37" t="n">
        <v>7.5</v>
      </c>
      <c r="G39" s="37" t="n">
        <v>2.5</v>
      </c>
      <c r="H39" s="37" t="n">
        <v>2</v>
      </c>
    </row>
    <row r="40" customFormat="false" ht="15" hidden="false" customHeight="false" outlineLevel="0" collapsed="false">
      <c r="A40" s="48" t="n">
        <v>46267</v>
      </c>
      <c r="B40" s="49" t="s">
        <v>108</v>
      </c>
      <c r="C40" s="49" t="s">
        <v>22</v>
      </c>
      <c r="D40" s="19" t="n">
        <v>861298.7166</v>
      </c>
      <c r="E40" s="21" t="n">
        <v>133</v>
      </c>
      <c r="F40" s="37" t="n">
        <v>90</v>
      </c>
      <c r="G40" s="37" t="n">
        <v>21</v>
      </c>
      <c r="H40" s="37" t="n">
        <v>14</v>
      </c>
    </row>
    <row r="41" customFormat="false" ht="15" hidden="false" customHeight="false" outlineLevel="0" collapsed="false">
      <c r="A41" s="48" t="n">
        <v>46267</v>
      </c>
      <c r="B41" s="49" t="s">
        <v>108</v>
      </c>
      <c r="C41" s="49" t="s">
        <v>55</v>
      </c>
      <c r="D41" s="19" t="n">
        <v>501549.43</v>
      </c>
      <c r="E41" s="21" t="n">
        <v>41</v>
      </c>
      <c r="F41" s="37" t="n">
        <v>29</v>
      </c>
      <c r="G41" s="37" t="n">
        <v>6</v>
      </c>
      <c r="H41" s="37" t="n">
        <v>8</v>
      </c>
    </row>
    <row r="42" customFormat="false" ht="15" hidden="false" customHeight="false" outlineLevel="0" collapsed="false">
      <c r="A42" s="48" t="n">
        <v>46267</v>
      </c>
      <c r="B42" s="49" t="s">
        <v>108</v>
      </c>
      <c r="C42" s="49" t="s">
        <v>56</v>
      </c>
      <c r="D42" s="19" t="n">
        <v>707771.52</v>
      </c>
      <c r="E42" s="21" t="n">
        <v>38</v>
      </c>
      <c r="F42" s="37" t="n">
        <v>31</v>
      </c>
      <c r="G42" s="37" t="n">
        <v>13</v>
      </c>
      <c r="H42" s="37" t="n">
        <v>3</v>
      </c>
    </row>
    <row r="43" customFormat="false" ht="15" hidden="false" customHeight="false" outlineLevel="0" collapsed="false">
      <c r="A43" s="48" t="n">
        <v>46267</v>
      </c>
      <c r="B43" s="49" t="s">
        <v>108</v>
      </c>
      <c r="C43" s="49" t="s">
        <v>57</v>
      </c>
      <c r="D43" s="19" t="n">
        <v>9495013.14</v>
      </c>
      <c r="E43" s="21" t="n">
        <v>401</v>
      </c>
      <c r="F43" s="37" t="n">
        <v>348</v>
      </c>
      <c r="G43" s="37" t="n">
        <v>119</v>
      </c>
      <c r="H43" s="37" t="n">
        <v>151</v>
      </c>
    </row>
    <row r="44" customFormat="false" ht="15" hidden="false" customHeight="false" outlineLevel="0" collapsed="false">
      <c r="A44" s="48" t="n">
        <v>46267</v>
      </c>
      <c r="B44" s="49" t="s">
        <v>108</v>
      </c>
      <c r="C44" s="49" t="s">
        <v>58</v>
      </c>
      <c r="D44" s="19" t="n">
        <v>1251181.22</v>
      </c>
      <c r="E44" s="21" t="n">
        <v>174.5</v>
      </c>
      <c r="F44" s="37" t="n">
        <v>133.5</v>
      </c>
      <c r="G44" s="37" t="n">
        <v>55</v>
      </c>
      <c r="H44" s="37" t="n">
        <v>48.5</v>
      </c>
    </row>
    <row r="45" customFormat="false" ht="15" hidden="false" customHeight="false" outlineLevel="0" collapsed="false">
      <c r="A45" s="48" t="n">
        <v>46267</v>
      </c>
      <c r="B45" s="49" t="s">
        <v>108</v>
      </c>
      <c r="C45" s="49" t="s">
        <v>59</v>
      </c>
      <c r="D45" s="19" t="n">
        <v>0</v>
      </c>
      <c r="E45" s="21" t="n">
        <v>0</v>
      </c>
      <c r="F45" s="37" t="n">
        <v>2</v>
      </c>
      <c r="G45" s="37" t="n">
        <v>0</v>
      </c>
      <c r="H45" s="37" t="n">
        <v>0</v>
      </c>
    </row>
    <row r="46" customFormat="false" ht="15" hidden="false" customHeight="false" outlineLevel="0" collapsed="false">
      <c r="A46" s="48" t="n">
        <v>46268</v>
      </c>
      <c r="B46" s="49" t="s">
        <v>26</v>
      </c>
      <c r="C46" s="49" t="s">
        <v>51</v>
      </c>
      <c r="D46" s="19" t="n">
        <v>0</v>
      </c>
      <c r="E46" s="21" t="n">
        <v>0</v>
      </c>
      <c r="F46" s="37" t="n">
        <v>35</v>
      </c>
      <c r="G46" s="37" t="n">
        <v>25</v>
      </c>
      <c r="H46" s="37" t="n">
        <v>31</v>
      </c>
    </row>
    <row r="47" customFormat="false" ht="15" hidden="false" customHeight="false" outlineLevel="0" collapsed="false">
      <c r="A47" s="48" t="n">
        <v>46268</v>
      </c>
      <c r="B47" s="49" t="s">
        <v>26</v>
      </c>
      <c r="C47" s="49" t="s">
        <v>52</v>
      </c>
      <c r="D47" s="19" t="n">
        <v>163622.3589</v>
      </c>
      <c r="E47" s="21" t="n">
        <v>31</v>
      </c>
      <c r="F47" s="37" t="n">
        <v>4</v>
      </c>
      <c r="G47" s="37" t="n">
        <v>6</v>
      </c>
      <c r="H47" s="37" t="n">
        <v>2</v>
      </c>
    </row>
    <row r="48" customFormat="false" ht="15" hidden="false" customHeight="false" outlineLevel="0" collapsed="false">
      <c r="A48" s="48" t="n">
        <v>46268</v>
      </c>
      <c r="B48" s="49" t="s">
        <v>26</v>
      </c>
      <c r="C48" s="49" t="s">
        <v>53</v>
      </c>
      <c r="D48" s="19" t="n">
        <v>36912.66705</v>
      </c>
      <c r="E48" s="21" t="n">
        <v>16</v>
      </c>
      <c r="F48" s="37" t="n">
        <v>11</v>
      </c>
      <c r="G48" s="37" t="n">
        <v>5.5</v>
      </c>
      <c r="H48" s="37" t="n">
        <v>2</v>
      </c>
    </row>
    <row r="49" customFormat="false" ht="15" hidden="false" customHeight="false" outlineLevel="0" collapsed="false">
      <c r="A49" s="48" t="n">
        <v>46268</v>
      </c>
      <c r="B49" s="49" t="s">
        <v>26</v>
      </c>
      <c r="C49" s="49" t="s">
        <v>22</v>
      </c>
      <c r="D49" s="19" t="n">
        <v>661865.3496</v>
      </c>
      <c r="E49" s="21" t="n">
        <v>70</v>
      </c>
      <c r="F49" s="37" t="n">
        <v>23</v>
      </c>
      <c r="G49" s="37" t="n">
        <v>13</v>
      </c>
      <c r="H49" s="37" t="n">
        <v>23</v>
      </c>
    </row>
    <row r="50" customFormat="false" ht="15" hidden="false" customHeight="false" outlineLevel="0" collapsed="false">
      <c r="A50" s="48" t="n">
        <v>46268</v>
      </c>
      <c r="B50" s="49" t="s">
        <v>26</v>
      </c>
      <c r="C50" s="49" t="s">
        <v>55</v>
      </c>
      <c r="D50" s="19" t="n">
        <v>1523488.69</v>
      </c>
      <c r="E50" s="21" t="n">
        <v>50</v>
      </c>
      <c r="F50" s="37" t="n">
        <v>21</v>
      </c>
      <c r="G50" s="37" t="n">
        <v>19</v>
      </c>
      <c r="H50" s="37" t="n">
        <v>42</v>
      </c>
    </row>
    <row r="51" customFormat="false" ht="15" hidden="false" customHeight="false" outlineLevel="0" collapsed="false">
      <c r="A51" s="48" t="n">
        <v>46268</v>
      </c>
      <c r="B51" s="49" t="s">
        <v>26</v>
      </c>
      <c r="C51" s="49" t="s">
        <v>56</v>
      </c>
      <c r="D51" s="19" t="n">
        <v>835523.24</v>
      </c>
      <c r="E51" s="21" t="n">
        <v>52.5</v>
      </c>
      <c r="F51" s="37" t="n">
        <v>26.5</v>
      </c>
      <c r="G51" s="37" t="n">
        <v>8</v>
      </c>
      <c r="H51" s="37" t="n">
        <v>4</v>
      </c>
    </row>
    <row r="52" customFormat="false" ht="15" hidden="false" customHeight="false" outlineLevel="0" collapsed="false">
      <c r="A52" s="48" t="n">
        <v>46268</v>
      </c>
      <c r="B52" s="49" t="s">
        <v>26</v>
      </c>
      <c r="C52" s="49" t="s">
        <v>57</v>
      </c>
      <c r="D52" s="19" t="n">
        <v>5711871.85</v>
      </c>
      <c r="E52" s="21" t="n">
        <v>251</v>
      </c>
      <c r="F52" s="37" t="n">
        <v>182</v>
      </c>
      <c r="G52" s="37" t="n">
        <v>174</v>
      </c>
      <c r="H52" s="37" t="n">
        <v>125</v>
      </c>
    </row>
    <row r="53" customFormat="false" ht="15" hidden="false" customHeight="false" outlineLevel="0" collapsed="false">
      <c r="A53" s="48" t="n">
        <v>46268</v>
      </c>
      <c r="B53" s="49" t="s">
        <v>26</v>
      </c>
      <c r="C53" s="49" t="s">
        <v>58</v>
      </c>
      <c r="D53" s="19" t="n">
        <v>1420089.455</v>
      </c>
      <c r="E53" s="21" t="n">
        <v>192.5</v>
      </c>
      <c r="F53" s="37" t="n">
        <v>156.5</v>
      </c>
      <c r="G53" s="37" t="n">
        <v>73.5</v>
      </c>
      <c r="H53" s="37" t="n">
        <v>43.5</v>
      </c>
    </row>
    <row r="54" customFormat="false" ht="15" hidden="false" customHeight="false" outlineLevel="0" collapsed="false">
      <c r="A54" s="48" t="n">
        <v>46268</v>
      </c>
      <c r="B54" s="49" t="s">
        <v>26</v>
      </c>
      <c r="C54" s="49" t="s">
        <v>59</v>
      </c>
      <c r="D54" s="19" t="n">
        <v>0</v>
      </c>
      <c r="E54" s="21" t="n">
        <v>0</v>
      </c>
      <c r="F54" s="37" t="n">
        <v>1</v>
      </c>
      <c r="G54" s="37" t="n">
        <v>0</v>
      </c>
      <c r="H54" s="37" t="n">
        <v>0</v>
      </c>
    </row>
    <row r="55" customFormat="false" ht="15" hidden="false" customHeight="false" outlineLevel="0" collapsed="false">
      <c r="A55" s="48" t="n">
        <v>46268</v>
      </c>
      <c r="B55" s="49" t="s">
        <v>27</v>
      </c>
      <c r="C55" s="49" t="s">
        <v>53</v>
      </c>
      <c r="D55" s="19" t="n">
        <v>73825.3341</v>
      </c>
      <c r="E55" s="21" t="n">
        <v>32</v>
      </c>
      <c r="F55" s="37" t="n">
        <v>22</v>
      </c>
      <c r="G55" s="37" t="n">
        <v>11</v>
      </c>
      <c r="H55" s="37" t="n">
        <v>4</v>
      </c>
    </row>
    <row r="56" customFormat="false" ht="15" hidden="false" customHeight="false" outlineLevel="0" collapsed="false">
      <c r="A56" s="48" t="n">
        <v>46268</v>
      </c>
      <c r="B56" s="49" t="s">
        <v>27</v>
      </c>
      <c r="C56" s="49" t="s">
        <v>56</v>
      </c>
      <c r="D56" s="19" t="n">
        <v>1671046.48</v>
      </c>
      <c r="E56" s="21" t="n">
        <v>105</v>
      </c>
      <c r="F56" s="37" t="n">
        <v>53</v>
      </c>
      <c r="G56" s="37" t="n">
        <v>16</v>
      </c>
      <c r="H56" s="37" t="n">
        <v>8</v>
      </c>
    </row>
    <row r="57" customFormat="false" ht="15" hidden="false" customHeight="false" outlineLevel="0" collapsed="false">
      <c r="A57" s="48" t="n">
        <v>46268</v>
      </c>
      <c r="B57" s="49" t="s">
        <v>27</v>
      </c>
      <c r="C57" s="49" t="s">
        <v>58</v>
      </c>
      <c r="D57" s="19" t="n">
        <v>2840178.91</v>
      </c>
      <c r="E57" s="21" t="n">
        <v>385</v>
      </c>
      <c r="F57" s="37" t="n">
        <v>313</v>
      </c>
      <c r="G57" s="37" t="n">
        <v>147</v>
      </c>
      <c r="H57" s="37" t="n">
        <v>87</v>
      </c>
    </row>
    <row r="58" customFormat="false" ht="15" hidden="false" customHeight="false" outlineLevel="0" collapsed="false">
      <c r="A58" s="48" t="n">
        <v>46268</v>
      </c>
      <c r="B58" s="49" t="s">
        <v>108</v>
      </c>
      <c r="C58" s="49" t="s">
        <v>51</v>
      </c>
      <c r="D58" s="19" t="n">
        <v>0</v>
      </c>
      <c r="E58" s="21" t="n">
        <v>0</v>
      </c>
      <c r="F58" s="37" t="n">
        <v>67</v>
      </c>
      <c r="G58" s="37" t="n">
        <v>47</v>
      </c>
      <c r="H58" s="37" t="n">
        <v>28</v>
      </c>
    </row>
    <row r="59" customFormat="false" ht="15" hidden="false" customHeight="false" outlineLevel="0" collapsed="false">
      <c r="A59" s="48" t="n">
        <v>46268</v>
      </c>
      <c r="B59" s="49" t="s">
        <v>108</v>
      </c>
      <c r="C59" s="49" t="s">
        <v>52</v>
      </c>
      <c r="D59" s="19" t="n">
        <v>51933.9996</v>
      </c>
      <c r="E59" s="21" t="n">
        <v>3</v>
      </c>
      <c r="F59" s="37" t="n">
        <v>5</v>
      </c>
      <c r="G59" s="37" t="n">
        <v>4</v>
      </c>
      <c r="H59" s="37" t="n">
        <v>1</v>
      </c>
    </row>
    <row r="60" customFormat="false" ht="15" hidden="false" customHeight="false" outlineLevel="0" collapsed="false">
      <c r="A60" s="48" t="n">
        <v>46268</v>
      </c>
      <c r="B60" s="49" t="s">
        <v>108</v>
      </c>
      <c r="C60" s="49" t="s">
        <v>53</v>
      </c>
      <c r="D60" s="19" t="n">
        <v>36912.66705</v>
      </c>
      <c r="E60" s="21" t="n">
        <v>16</v>
      </c>
      <c r="F60" s="37" t="n">
        <v>11</v>
      </c>
      <c r="G60" s="37" t="n">
        <v>5.5</v>
      </c>
      <c r="H60" s="37" t="n">
        <v>2</v>
      </c>
    </row>
    <row r="61" customFormat="false" ht="15" hidden="false" customHeight="false" outlineLevel="0" collapsed="false">
      <c r="A61" s="48" t="n">
        <v>46268</v>
      </c>
      <c r="B61" s="49" t="s">
        <v>108</v>
      </c>
      <c r="C61" s="49" t="s">
        <v>22</v>
      </c>
      <c r="D61" s="19" t="n">
        <v>715936.473</v>
      </c>
      <c r="E61" s="21" t="n">
        <v>142</v>
      </c>
      <c r="F61" s="37" t="n">
        <v>80</v>
      </c>
      <c r="G61" s="37" t="n">
        <v>16</v>
      </c>
      <c r="H61" s="37" t="n">
        <v>7</v>
      </c>
    </row>
    <row r="62" customFormat="false" ht="15" hidden="false" customHeight="false" outlineLevel="0" collapsed="false">
      <c r="A62" s="48" t="n">
        <v>46268</v>
      </c>
      <c r="B62" s="49" t="s">
        <v>108</v>
      </c>
      <c r="C62" s="49" t="s">
        <v>55</v>
      </c>
      <c r="D62" s="19" t="n">
        <v>498553.17</v>
      </c>
      <c r="E62" s="21" t="n">
        <v>26</v>
      </c>
      <c r="F62" s="37" t="n">
        <v>18</v>
      </c>
      <c r="G62" s="37" t="n">
        <v>6</v>
      </c>
      <c r="H62" s="37" t="n">
        <v>4</v>
      </c>
    </row>
    <row r="63" customFormat="false" ht="15" hidden="false" customHeight="false" outlineLevel="0" collapsed="false">
      <c r="A63" s="48" t="n">
        <v>46268</v>
      </c>
      <c r="B63" s="49" t="s">
        <v>108</v>
      </c>
      <c r="C63" s="49" t="s">
        <v>56</v>
      </c>
      <c r="D63" s="19" t="n">
        <v>835523.24</v>
      </c>
      <c r="E63" s="21" t="n">
        <v>52.5</v>
      </c>
      <c r="F63" s="37" t="n">
        <v>26.5</v>
      </c>
      <c r="G63" s="37" t="n">
        <v>8</v>
      </c>
      <c r="H63" s="37" t="n">
        <v>4</v>
      </c>
    </row>
    <row r="64" customFormat="false" ht="15" hidden="false" customHeight="false" outlineLevel="0" collapsed="false">
      <c r="A64" s="48" t="n">
        <v>46268</v>
      </c>
      <c r="B64" s="49" t="s">
        <v>108</v>
      </c>
      <c r="C64" s="49" t="s">
        <v>57</v>
      </c>
      <c r="D64" s="19" t="n">
        <v>9610793.76</v>
      </c>
      <c r="E64" s="21" t="n">
        <v>375</v>
      </c>
      <c r="F64" s="37" t="n">
        <v>283</v>
      </c>
      <c r="G64" s="37" t="n">
        <v>124</v>
      </c>
      <c r="H64" s="37" t="n">
        <v>105</v>
      </c>
    </row>
    <row r="65" customFormat="false" ht="15" hidden="false" customHeight="false" outlineLevel="0" collapsed="false">
      <c r="A65" s="48" t="n">
        <v>46268</v>
      </c>
      <c r="B65" s="49" t="s">
        <v>108</v>
      </c>
      <c r="C65" s="49" t="s">
        <v>58</v>
      </c>
      <c r="D65" s="19" t="n">
        <v>1420089.455</v>
      </c>
      <c r="E65" s="21" t="n">
        <v>192.5</v>
      </c>
      <c r="F65" s="37" t="n">
        <v>156.5</v>
      </c>
      <c r="G65" s="37" t="n">
        <v>73.5</v>
      </c>
      <c r="H65" s="37" t="n">
        <v>43.5</v>
      </c>
    </row>
    <row r="66" customFormat="false" ht="15" hidden="false" customHeight="false" outlineLevel="0" collapsed="false">
      <c r="A66" s="48" t="n">
        <v>46268</v>
      </c>
      <c r="B66" s="49" t="s">
        <v>108</v>
      </c>
      <c r="C66" s="49" t="s">
        <v>59</v>
      </c>
      <c r="D66" s="19" t="n">
        <v>0</v>
      </c>
      <c r="E66" s="21" t="n">
        <v>0</v>
      </c>
      <c r="F66" s="37" t="n">
        <v>6</v>
      </c>
      <c r="G66" s="37" t="n">
        <v>0</v>
      </c>
      <c r="H66" s="37" t="n">
        <v>2</v>
      </c>
    </row>
    <row r="67" customFormat="false" ht="15" hidden="false" customHeight="false" outlineLevel="0" collapsed="false">
      <c r="A67" s="48" t="n">
        <v>46269</v>
      </c>
      <c r="B67" s="49" t="s">
        <v>26</v>
      </c>
      <c r="C67" s="49" t="s">
        <v>72</v>
      </c>
      <c r="D67" s="19" t="n">
        <v>0</v>
      </c>
      <c r="E67" s="21" t="n">
        <v>0</v>
      </c>
      <c r="F67" s="37" t="n">
        <v>1</v>
      </c>
      <c r="G67" s="37" t="n">
        <v>0</v>
      </c>
      <c r="H67" s="37" t="n">
        <v>0</v>
      </c>
    </row>
    <row r="68" customFormat="false" ht="15" hidden="false" customHeight="false" outlineLevel="0" collapsed="false">
      <c r="A68" s="48" t="n">
        <v>46269</v>
      </c>
      <c r="B68" s="49" t="s">
        <v>26</v>
      </c>
      <c r="C68" s="49" t="s">
        <v>51</v>
      </c>
      <c r="D68" s="19" t="n">
        <v>0</v>
      </c>
      <c r="E68" s="21" t="n">
        <v>0</v>
      </c>
      <c r="F68" s="37" t="n">
        <v>38</v>
      </c>
      <c r="G68" s="37" t="n">
        <v>24</v>
      </c>
      <c r="H68" s="37" t="n">
        <v>28</v>
      </c>
    </row>
    <row r="69" customFormat="false" ht="15" hidden="false" customHeight="false" outlineLevel="0" collapsed="false">
      <c r="A69" s="48" t="n">
        <v>46269</v>
      </c>
      <c r="B69" s="49" t="s">
        <v>26</v>
      </c>
      <c r="C69" s="49" t="s">
        <v>52</v>
      </c>
      <c r="D69" s="19" t="n">
        <v>144936.7101</v>
      </c>
      <c r="E69" s="21" t="n">
        <v>30</v>
      </c>
      <c r="F69" s="37" t="n">
        <v>12</v>
      </c>
      <c r="G69" s="37" t="n">
        <v>3</v>
      </c>
      <c r="H69" s="37" t="n">
        <v>5</v>
      </c>
    </row>
    <row r="70" customFormat="false" ht="15" hidden="false" customHeight="false" outlineLevel="0" collapsed="false">
      <c r="A70" s="48" t="n">
        <v>46269</v>
      </c>
      <c r="B70" s="49" t="s">
        <v>26</v>
      </c>
      <c r="C70" s="49" t="s">
        <v>53</v>
      </c>
      <c r="D70" s="19" t="n">
        <v>35730.62955</v>
      </c>
      <c r="E70" s="21" t="n">
        <v>20</v>
      </c>
      <c r="F70" s="37" t="n">
        <v>8</v>
      </c>
      <c r="G70" s="37" t="n">
        <v>4.5</v>
      </c>
      <c r="H70" s="37" t="n">
        <v>4</v>
      </c>
    </row>
    <row r="71" customFormat="false" ht="15" hidden="false" customHeight="false" outlineLevel="0" collapsed="false">
      <c r="A71" s="48" t="n">
        <v>46269</v>
      </c>
      <c r="B71" s="49" t="s">
        <v>26</v>
      </c>
      <c r="C71" s="49" t="s">
        <v>22</v>
      </c>
      <c r="D71" s="19" t="n">
        <v>659520.1872</v>
      </c>
      <c r="E71" s="21" t="n">
        <v>86</v>
      </c>
      <c r="F71" s="37" t="n">
        <v>28</v>
      </c>
      <c r="G71" s="37" t="n">
        <v>11</v>
      </c>
      <c r="H71" s="37" t="n">
        <v>12</v>
      </c>
    </row>
    <row r="72" customFormat="false" ht="15" hidden="false" customHeight="false" outlineLevel="0" collapsed="false">
      <c r="A72" s="48" t="n">
        <v>46269</v>
      </c>
      <c r="B72" s="49" t="s">
        <v>26</v>
      </c>
      <c r="C72" s="49" t="s">
        <v>55</v>
      </c>
      <c r="D72" s="19" t="n">
        <v>1556402.59</v>
      </c>
      <c r="E72" s="21" t="n">
        <v>47</v>
      </c>
      <c r="F72" s="37" t="n">
        <v>23</v>
      </c>
      <c r="G72" s="37" t="n">
        <v>14</v>
      </c>
      <c r="H72" s="37" t="n">
        <v>29</v>
      </c>
    </row>
    <row r="73" customFormat="false" ht="15" hidden="false" customHeight="false" outlineLevel="0" collapsed="false">
      <c r="A73" s="48" t="n">
        <v>46269</v>
      </c>
      <c r="B73" s="49" t="s">
        <v>26</v>
      </c>
      <c r="C73" s="49" t="s">
        <v>56</v>
      </c>
      <c r="D73" s="19" t="n">
        <v>835202.365</v>
      </c>
      <c r="E73" s="21" t="n">
        <v>35</v>
      </c>
      <c r="F73" s="37" t="n">
        <v>16.5</v>
      </c>
      <c r="G73" s="37" t="n">
        <v>5.5</v>
      </c>
      <c r="H73" s="37" t="n">
        <v>8.5</v>
      </c>
    </row>
    <row r="74" customFormat="false" ht="15" hidden="false" customHeight="false" outlineLevel="0" collapsed="false">
      <c r="A74" s="48" t="n">
        <v>46269</v>
      </c>
      <c r="B74" s="49" t="s">
        <v>26</v>
      </c>
      <c r="C74" s="49" t="s">
        <v>57</v>
      </c>
      <c r="D74" s="19" t="n">
        <v>5493817.36</v>
      </c>
      <c r="E74" s="21" t="n">
        <v>212</v>
      </c>
      <c r="F74" s="37" t="n">
        <v>167</v>
      </c>
      <c r="G74" s="37" t="n">
        <v>126</v>
      </c>
      <c r="H74" s="37" t="n">
        <v>122</v>
      </c>
    </row>
    <row r="75" customFormat="false" ht="15" hidden="false" customHeight="false" outlineLevel="0" collapsed="false">
      <c r="A75" s="48" t="n">
        <v>46269</v>
      </c>
      <c r="B75" s="49" t="s">
        <v>26</v>
      </c>
      <c r="C75" s="49" t="s">
        <v>58</v>
      </c>
      <c r="D75" s="19" t="n">
        <v>1615065.1</v>
      </c>
      <c r="E75" s="21" t="n">
        <v>159.5</v>
      </c>
      <c r="F75" s="37" t="n">
        <v>130.5</v>
      </c>
      <c r="G75" s="37" t="n">
        <v>60</v>
      </c>
      <c r="H75" s="37" t="n">
        <v>52.5</v>
      </c>
    </row>
    <row r="76" customFormat="false" ht="15" hidden="false" customHeight="false" outlineLevel="0" collapsed="false">
      <c r="A76" s="48" t="n">
        <v>46269</v>
      </c>
      <c r="B76" s="49" t="s">
        <v>27</v>
      </c>
      <c r="C76" s="49" t="s">
        <v>53</v>
      </c>
      <c r="D76" s="19" t="n">
        <v>71461.2591</v>
      </c>
      <c r="E76" s="21" t="n">
        <v>40</v>
      </c>
      <c r="F76" s="37" t="n">
        <v>16</v>
      </c>
      <c r="G76" s="37" t="n">
        <v>9</v>
      </c>
      <c r="H76" s="37" t="n">
        <v>8</v>
      </c>
    </row>
    <row r="77" customFormat="false" ht="15" hidden="false" customHeight="false" outlineLevel="0" collapsed="false">
      <c r="A77" s="48" t="n">
        <v>46269</v>
      </c>
      <c r="B77" s="49" t="s">
        <v>27</v>
      </c>
      <c r="C77" s="49" t="s">
        <v>56</v>
      </c>
      <c r="D77" s="19" t="n">
        <v>1670404.73</v>
      </c>
      <c r="E77" s="21" t="n">
        <v>70</v>
      </c>
      <c r="F77" s="37" t="n">
        <v>33</v>
      </c>
      <c r="G77" s="37" t="n">
        <v>11</v>
      </c>
      <c r="H77" s="37" t="n">
        <v>17</v>
      </c>
    </row>
    <row r="78" customFormat="false" ht="15" hidden="false" customHeight="false" outlineLevel="0" collapsed="false">
      <c r="A78" s="48" t="n">
        <v>46269</v>
      </c>
      <c r="B78" s="49" t="s">
        <v>27</v>
      </c>
      <c r="C78" s="49" t="s">
        <v>58</v>
      </c>
      <c r="D78" s="19" t="n">
        <v>3230130.2</v>
      </c>
      <c r="E78" s="21" t="n">
        <v>319</v>
      </c>
      <c r="F78" s="37" t="n">
        <v>261</v>
      </c>
      <c r="G78" s="37" t="n">
        <v>120</v>
      </c>
      <c r="H78" s="37" t="n">
        <v>105</v>
      </c>
    </row>
    <row r="79" customFormat="false" ht="15" hidden="false" customHeight="false" outlineLevel="0" collapsed="false">
      <c r="A79" s="48" t="n">
        <v>46269</v>
      </c>
      <c r="B79" s="49" t="s">
        <v>108</v>
      </c>
      <c r="C79" s="49" t="s">
        <v>51</v>
      </c>
      <c r="D79" s="19" t="n">
        <v>0</v>
      </c>
      <c r="E79" s="21" t="n">
        <v>0</v>
      </c>
      <c r="F79" s="37" t="n">
        <v>57</v>
      </c>
      <c r="G79" s="37" t="n">
        <v>27</v>
      </c>
      <c r="H79" s="37" t="n">
        <v>42</v>
      </c>
    </row>
    <row r="80" customFormat="false" ht="15" hidden="false" customHeight="false" outlineLevel="0" collapsed="false">
      <c r="A80" s="48" t="n">
        <v>46269</v>
      </c>
      <c r="B80" s="49" t="s">
        <v>108</v>
      </c>
      <c r="C80" s="49" t="s">
        <v>52</v>
      </c>
      <c r="D80" s="19" t="n">
        <v>81002.6658</v>
      </c>
      <c r="E80" s="21" t="n">
        <v>4</v>
      </c>
      <c r="F80" s="37" t="n">
        <v>2</v>
      </c>
      <c r="G80" s="37" t="n">
        <v>1</v>
      </c>
      <c r="H80" s="37" t="n">
        <v>2</v>
      </c>
    </row>
    <row r="81" customFormat="false" ht="15" hidden="false" customHeight="false" outlineLevel="0" collapsed="false">
      <c r="A81" s="48" t="n">
        <v>46269</v>
      </c>
      <c r="B81" s="49" t="s">
        <v>108</v>
      </c>
      <c r="C81" s="49" t="s">
        <v>53</v>
      </c>
      <c r="D81" s="19" t="n">
        <v>35730.62955</v>
      </c>
      <c r="E81" s="21" t="n">
        <v>20</v>
      </c>
      <c r="F81" s="37" t="n">
        <v>8</v>
      </c>
      <c r="G81" s="37" t="n">
        <v>4.5</v>
      </c>
      <c r="H81" s="37" t="n">
        <v>4</v>
      </c>
    </row>
    <row r="82" customFormat="false" ht="15" hidden="false" customHeight="false" outlineLevel="0" collapsed="false">
      <c r="A82" s="48" t="n">
        <v>46269</v>
      </c>
      <c r="B82" s="49" t="s">
        <v>108</v>
      </c>
      <c r="C82" s="49" t="s">
        <v>22</v>
      </c>
      <c r="D82" s="19" t="n">
        <v>647255.3661</v>
      </c>
      <c r="E82" s="21" t="n">
        <v>118</v>
      </c>
      <c r="F82" s="37" t="n">
        <v>84</v>
      </c>
      <c r="G82" s="37" t="n">
        <v>11</v>
      </c>
      <c r="H82" s="37" t="n">
        <v>17</v>
      </c>
    </row>
    <row r="83" customFormat="false" ht="15" hidden="false" customHeight="false" outlineLevel="0" collapsed="false">
      <c r="A83" s="48" t="n">
        <v>46269</v>
      </c>
      <c r="B83" s="49" t="s">
        <v>108</v>
      </c>
      <c r="C83" s="49" t="s">
        <v>55</v>
      </c>
      <c r="D83" s="19" t="n">
        <v>514197.76</v>
      </c>
      <c r="E83" s="21" t="n">
        <v>28</v>
      </c>
      <c r="F83" s="37" t="n">
        <v>19</v>
      </c>
      <c r="G83" s="37" t="n">
        <v>8</v>
      </c>
      <c r="H83" s="37" t="n">
        <v>5</v>
      </c>
    </row>
    <row r="84" customFormat="false" ht="15" hidden="false" customHeight="false" outlineLevel="0" collapsed="false">
      <c r="A84" s="48" t="n">
        <v>46269</v>
      </c>
      <c r="B84" s="49" t="s">
        <v>108</v>
      </c>
      <c r="C84" s="49" t="s">
        <v>56</v>
      </c>
      <c r="D84" s="19" t="n">
        <v>835202.365</v>
      </c>
      <c r="E84" s="21" t="n">
        <v>35</v>
      </c>
      <c r="F84" s="37" t="n">
        <v>16.5</v>
      </c>
      <c r="G84" s="37" t="n">
        <v>5.5</v>
      </c>
      <c r="H84" s="37" t="n">
        <v>8.5</v>
      </c>
    </row>
    <row r="85" customFormat="false" ht="15" hidden="false" customHeight="false" outlineLevel="0" collapsed="false">
      <c r="A85" s="48" t="n">
        <v>46269</v>
      </c>
      <c r="B85" s="49" t="s">
        <v>108</v>
      </c>
      <c r="C85" s="49" t="s">
        <v>57</v>
      </c>
      <c r="D85" s="19" t="n">
        <v>8653776.86</v>
      </c>
      <c r="E85" s="21" t="n">
        <v>346</v>
      </c>
      <c r="F85" s="37" t="n">
        <v>242</v>
      </c>
      <c r="G85" s="37" t="n">
        <v>117</v>
      </c>
      <c r="H85" s="37" t="n">
        <v>106</v>
      </c>
    </row>
    <row r="86" customFormat="false" ht="15" hidden="false" customHeight="false" outlineLevel="0" collapsed="false">
      <c r="A86" s="48" t="n">
        <v>46269</v>
      </c>
      <c r="B86" s="49" t="s">
        <v>108</v>
      </c>
      <c r="C86" s="49" t="s">
        <v>58</v>
      </c>
      <c r="D86" s="19" t="n">
        <v>1615065.1</v>
      </c>
      <c r="E86" s="21" t="n">
        <v>159.5</v>
      </c>
      <c r="F86" s="37" t="n">
        <v>130.5</v>
      </c>
      <c r="G86" s="37" t="n">
        <v>60</v>
      </c>
      <c r="H86" s="37" t="n">
        <v>52.5</v>
      </c>
    </row>
    <row r="87" customFormat="false" ht="15" hidden="false" customHeight="false" outlineLevel="0" collapsed="false">
      <c r="A87" s="48" t="n">
        <v>46269</v>
      </c>
      <c r="B87" s="49" t="s">
        <v>108</v>
      </c>
      <c r="C87" s="49" t="s">
        <v>59</v>
      </c>
      <c r="D87" s="19" t="n">
        <v>0</v>
      </c>
      <c r="E87" s="21" t="n">
        <v>0</v>
      </c>
      <c r="F87" s="37" t="n">
        <v>1</v>
      </c>
      <c r="G87" s="37" t="n">
        <v>0</v>
      </c>
      <c r="H87" s="37" t="n">
        <v>0</v>
      </c>
    </row>
    <row r="88" customFormat="false" ht="15" hidden="false" customHeight="false" outlineLevel="0" collapsed="false">
      <c r="A88" s="48" t="n">
        <v>46270</v>
      </c>
      <c r="B88" s="49" t="s">
        <v>26</v>
      </c>
      <c r="C88" s="49" t="s">
        <v>51</v>
      </c>
      <c r="D88" s="19" t="n">
        <v>0</v>
      </c>
      <c r="E88" s="21" t="n">
        <v>0</v>
      </c>
      <c r="F88" s="37" t="n">
        <v>30</v>
      </c>
      <c r="G88" s="37" t="n">
        <v>26</v>
      </c>
      <c r="H88" s="37" t="n">
        <v>14</v>
      </c>
    </row>
    <row r="89" customFormat="false" ht="15" hidden="false" customHeight="false" outlineLevel="0" collapsed="false">
      <c r="A89" s="48" t="n">
        <v>46270</v>
      </c>
      <c r="B89" s="49" t="s">
        <v>26</v>
      </c>
      <c r="C89" s="49" t="s">
        <v>52</v>
      </c>
      <c r="D89" s="19" t="n">
        <v>160898.9445</v>
      </c>
      <c r="E89" s="21" t="n">
        <v>5</v>
      </c>
      <c r="F89" s="37" t="n">
        <v>1</v>
      </c>
      <c r="G89" s="37" t="n">
        <v>0</v>
      </c>
      <c r="H89" s="37" t="n">
        <v>6</v>
      </c>
    </row>
    <row r="90" customFormat="false" ht="15" hidden="false" customHeight="false" outlineLevel="0" collapsed="false">
      <c r="A90" s="48" t="n">
        <v>46270</v>
      </c>
      <c r="B90" s="49" t="s">
        <v>26</v>
      </c>
      <c r="C90" s="49" t="s">
        <v>53</v>
      </c>
      <c r="D90" s="19" t="n">
        <v>31730.61465</v>
      </c>
      <c r="E90" s="21" t="n">
        <v>9</v>
      </c>
      <c r="F90" s="37" t="n">
        <v>4.5</v>
      </c>
      <c r="G90" s="37" t="n">
        <v>2.5</v>
      </c>
      <c r="H90" s="37" t="n">
        <v>3.5</v>
      </c>
    </row>
    <row r="91" customFormat="false" ht="15" hidden="false" customHeight="false" outlineLevel="0" collapsed="false">
      <c r="A91" s="48" t="n">
        <v>46270</v>
      </c>
      <c r="B91" s="49" t="s">
        <v>26</v>
      </c>
      <c r="C91" s="49" t="s">
        <v>22</v>
      </c>
      <c r="D91" s="19" t="n">
        <v>632011.8105</v>
      </c>
      <c r="E91" s="21" t="n">
        <v>65</v>
      </c>
      <c r="F91" s="37" t="n">
        <v>17</v>
      </c>
      <c r="G91" s="37" t="n">
        <v>12</v>
      </c>
      <c r="H91" s="37" t="n">
        <v>11</v>
      </c>
    </row>
    <row r="92" customFormat="false" ht="15" hidden="false" customHeight="false" outlineLevel="0" collapsed="false">
      <c r="A92" s="48" t="n">
        <v>46270</v>
      </c>
      <c r="B92" s="49" t="s">
        <v>26</v>
      </c>
      <c r="C92" s="49" t="s">
        <v>55</v>
      </c>
      <c r="D92" s="19" t="n">
        <v>1246147.66</v>
      </c>
      <c r="E92" s="21" t="n">
        <v>17</v>
      </c>
      <c r="F92" s="37" t="n">
        <v>8</v>
      </c>
      <c r="G92" s="37" t="n">
        <v>8</v>
      </c>
      <c r="H92" s="37" t="n">
        <v>13</v>
      </c>
    </row>
    <row r="93" customFormat="false" ht="15" hidden="false" customHeight="false" outlineLevel="0" collapsed="false">
      <c r="A93" s="48" t="n">
        <v>46270</v>
      </c>
      <c r="B93" s="49" t="s">
        <v>26</v>
      </c>
      <c r="C93" s="49" t="s">
        <v>56</v>
      </c>
      <c r="D93" s="19" t="n">
        <v>770494.23</v>
      </c>
      <c r="E93" s="21" t="n">
        <v>30</v>
      </c>
      <c r="F93" s="37" t="n">
        <v>15</v>
      </c>
      <c r="G93" s="37" t="n">
        <v>4</v>
      </c>
      <c r="H93" s="37" t="n">
        <v>6</v>
      </c>
    </row>
    <row r="94" customFormat="false" ht="15" hidden="false" customHeight="false" outlineLevel="0" collapsed="false">
      <c r="A94" s="48" t="n">
        <v>46270</v>
      </c>
      <c r="B94" s="49" t="s">
        <v>26</v>
      </c>
      <c r="C94" s="49" t="s">
        <v>57</v>
      </c>
      <c r="D94" s="19" t="n">
        <v>5158855.44</v>
      </c>
      <c r="E94" s="21" t="n">
        <v>144</v>
      </c>
      <c r="F94" s="37" t="n">
        <v>104</v>
      </c>
      <c r="G94" s="37" t="n">
        <v>84</v>
      </c>
      <c r="H94" s="37" t="n">
        <v>90</v>
      </c>
    </row>
    <row r="95" customFormat="false" ht="15" hidden="false" customHeight="false" outlineLevel="0" collapsed="false">
      <c r="A95" s="48" t="n">
        <v>46270</v>
      </c>
      <c r="B95" s="49" t="s">
        <v>26</v>
      </c>
      <c r="C95" s="49" t="s">
        <v>58</v>
      </c>
      <c r="D95" s="19" t="n">
        <v>1559634.37</v>
      </c>
      <c r="E95" s="21" t="n">
        <v>108.5</v>
      </c>
      <c r="F95" s="37" t="n">
        <v>83</v>
      </c>
      <c r="G95" s="37" t="n">
        <v>32</v>
      </c>
      <c r="H95" s="37" t="n">
        <v>35</v>
      </c>
    </row>
    <row r="96" customFormat="false" ht="15" hidden="false" customHeight="false" outlineLevel="0" collapsed="false">
      <c r="A96" s="48" t="n">
        <v>46270</v>
      </c>
      <c r="B96" s="49" t="s">
        <v>27</v>
      </c>
      <c r="C96" s="49" t="s">
        <v>53</v>
      </c>
      <c r="D96" s="19" t="n">
        <v>63461.2293</v>
      </c>
      <c r="E96" s="21" t="n">
        <v>18</v>
      </c>
      <c r="F96" s="37" t="n">
        <v>9</v>
      </c>
      <c r="G96" s="37" t="n">
        <v>5</v>
      </c>
      <c r="H96" s="37" t="n">
        <v>7</v>
      </c>
    </row>
    <row r="97" customFormat="false" ht="15" hidden="false" customHeight="false" outlineLevel="0" collapsed="false">
      <c r="A97" s="48" t="n">
        <v>46270</v>
      </c>
      <c r="B97" s="49" t="s">
        <v>27</v>
      </c>
      <c r="C97" s="49" t="s">
        <v>56</v>
      </c>
      <c r="D97" s="19" t="n">
        <v>1540988.46</v>
      </c>
      <c r="E97" s="21" t="n">
        <v>60</v>
      </c>
      <c r="F97" s="37" t="n">
        <v>30</v>
      </c>
      <c r="G97" s="37" t="n">
        <v>8</v>
      </c>
      <c r="H97" s="37" t="n">
        <v>12</v>
      </c>
    </row>
    <row r="98" customFormat="false" ht="15" hidden="false" customHeight="false" outlineLevel="0" collapsed="false">
      <c r="A98" s="48" t="n">
        <v>46270</v>
      </c>
      <c r="B98" s="49" t="s">
        <v>27</v>
      </c>
      <c r="C98" s="49" t="s">
        <v>58</v>
      </c>
      <c r="D98" s="19" t="n">
        <v>3119268.74</v>
      </c>
      <c r="E98" s="21" t="n">
        <v>217</v>
      </c>
      <c r="F98" s="37" t="n">
        <v>166</v>
      </c>
      <c r="G98" s="37" t="n">
        <v>64</v>
      </c>
      <c r="H98" s="37" t="n">
        <v>70</v>
      </c>
    </row>
    <row r="99" customFormat="false" ht="15" hidden="false" customHeight="false" outlineLevel="0" collapsed="false">
      <c r="A99" s="48" t="n">
        <v>46270</v>
      </c>
      <c r="B99" s="49" t="s">
        <v>108</v>
      </c>
      <c r="C99" s="49" t="s">
        <v>51</v>
      </c>
      <c r="D99" s="19" t="n">
        <v>0</v>
      </c>
      <c r="E99" s="21" t="n">
        <v>0</v>
      </c>
      <c r="F99" s="37" t="n">
        <v>44</v>
      </c>
      <c r="G99" s="37" t="n">
        <v>20</v>
      </c>
      <c r="H99" s="37" t="n">
        <v>18</v>
      </c>
    </row>
    <row r="100" customFormat="false" ht="15" hidden="false" customHeight="false" outlineLevel="0" collapsed="false">
      <c r="A100" s="48" t="n">
        <v>46270</v>
      </c>
      <c r="B100" s="49" t="s">
        <v>108</v>
      </c>
      <c r="C100" s="49" t="s">
        <v>52</v>
      </c>
      <c r="D100" s="19" t="n">
        <v>19896.0552</v>
      </c>
      <c r="E100" s="21" t="n">
        <v>2</v>
      </c>
      <c r="F100" s="37" t="n">
        <v>1</v>
      </c>
      <c r="G100" s="37" t="n">
        <v>3</v>
      </c>
      <c r="H100" s="37" t="n">
        <v>3</v>
      </c>
    </row>
    <row r="101" customFormat="false" ht="15" hidden="false" customHeight="false" outlineLevel="0" collapsed="false">
      <c r="A101" s="48" t="n">
        <v>46270</v>
      </c>
      <c r="B101" s="49" t="s">
        <v>108</v>
      </c>
      <c r="C101" s="49" t="s">
        <v>53</v>
      </c>
      <c r="D101" s="19" t="n">
        <v>31730.61465</v>
      </c>
      <c r="E101" s="21" t="n">
        <v>9</v>
      </c>
      <c r="F101" s="37" t="n">
        <v>4.5</v>
      </c>
      <c r="G101" s="37" t="n">
        <v>2.5</v>
      </c>
      <c r="H101" s="37" t="n">
        <v>3.5</v>
      </c>
    </row>
    <row r="102" customFormat="false" ht="15" hidden="false" customHeight="false" outlineLevel="0" collapsed="false">
      <c r="A102" s="48" t="n">
        <v>46270</v>
      </c>
      <c r="B102" s="49" t="s">
        <v>108</v>
      </c>
      <c r="C102" s="49" t="s">
        <v>22</v>
      </c>
      <c r="D102" s="19" t="n">
        <v>592181.8749</v>
      </c>
      <c r="E102" s="21" t="n">
        <v>94</v>
      </c>
      <c r="F102" s="37" t="n">
        <v>47</v>
      </c>
      <c r="G102" s="37" t="n">
        <v>7</v>
      </c>
      <c r="H102" s="37" t="n">
        <v>13</v>
      </c>
    </row>
    <row r="103" customFormat="false" ht="15" hidden="false" customHeight="false" outlineLevel="0" collapsed="false">
      <c r="A103" s="48" t="n">
        <v>46270</v>
      </c>
      <c r="B103" s="49" t="s">
        <v>108</v>
      </c>
      <c r="C103" s="49" t="s">
        <v>55</v>
      </c>
      <c r="D103" s="19" t="n">
        <v>675108.33</v>
      </c>
      <c r="E103" s="21" t="n">
        <v>28</v>
      </c>
      <c r="F103" s="37" t="n">
        <v>13</v>
      </c>
      <c r="G103" s="37" t="n">
        <v>9</v>
      </c>
      <c r="H103" s="37" t="n">
        <v>4</v>
      </c>
    </row>
    <row r="104" customFormat="false" ht="15" hidden="false" customHeight="false" outlineLevel="0" collapsed="false">
      <c r="A104" s="48" t="n">
        <v>46270</v>
      </c>
      <c r="B104" s="49" t="s">
        <v>108</v>
      </c>
      <c r="C104" s="49" t="s">
        <v>56</v>
      </c>
      <c r="D104" s="19" t="n">
        <v>770494.23</v>
      </c>
      <c r="E104" s="21" t="n">
        <v>30</v>
      </c>
      <c r="F104" s="37" t="n">
        <v>15</v>
      </c>
      <c r="G104" s="37" t="n">
        <v>4</v>
      </c>
      <c r="H104" s="37" t="n">
        <v>6</v>
      </c>
    </row>
    <row r="105" customFormat="false" ht="15" hidden="false" customHeight="false" outlineLevel="0" collapsed="false">
      <c r="A105" s="48" t="n">
        <v>46270</v>
      </c>
      <c r="B105" s="49" t="s">
        <v>108</v>
      </c>
      <c r="C105" s="49" t="s">
        <v>57</v>
      </c>
      <c r="D105" s="19" t="n">
        <v>7972694.87</v>
      </c>
      <c r="E105" s="21" t="n">
        <v>247</v>
      </c>
      <c r="F105" s="37" t="n">
        <v>136</v>
      </c>
      <c r="G105" s="37" t="n">
        <v>47</v>
      </c>
      <c r="H105" s="37" t="n">
        <v>118</v>
      </c>
    </row>
    <row r="106" customFormat="false" ht="15" hidden="false" customHeight="false" outlineLevel="0" collapsed="false">
      <c r="A106" s="48" t="n">
        <v>46270</v>
      </c>
      <c r="B106" s="49" t="s">
        <v>108</v>
      </c>
      <c r="C106" s="49" t="s">
        <v>58</v>
      </c>
      <c r="D106" s="19" t="n">
        <v>1559634.37</v>
      </c>
      <c r="E106" s="21" t="n">
        <v>108.5</v>
      </c>
      <c r="F106" s="37" t="n">
        <v>83</v>
      </c>
      <c r="G106" s="37" t="n">
        <v>32</v>
      </c>
      <c r="H106" s="37" t="n">
        <v>35</v>
      </c>
    </row>
    <row r="107" customFormat="false" ht="15" hidden="false" customHeight="false" outlineLevel="0" collapsed="false">
      <c r="A107" s="48" t="n">
        <v>46270</v>
      </c>
      <c r="B107" s="49" t="s">
        <v>108</v>
      </c>
      <c r="C107" s="49" t="s">
        <v>59</v>
      </c>
      <c r="D107" s="19" t="n">
        <v>0</v>
      </c>
      <c r="E107" s="21" t="n">
        <v>0</v>
      </c>
      <c r="F107" s="37" t="n">
        <v>4</v>
      </c>
      <c r="G107" s="37" t="n">
        <v>1</v>
      </c>
      <c r="H107" s="37" t="n">
        <v>0</v>
      </c>
    </row>
    <row r="108" customFormat="false" ht="15" hidden="false" customHeight="false" outlineLevel="0" collapsed="false">
      <c r="A108" s="48" t="n">
        <v>46271</v>
      </c>
      <c r="B108" s="49" t="s">
        <v>26</v>
      </c>
      <c r="C108" s="49" t="s">
        <v>72</v>
      </c>
      <c r="D108" s="19" t="n">
        <v>0</v>
      </c>
      <c r="E108" s="21" t="n">
        <v>0</v>
      </c>
      <c r="F108" s="37" t="n">
        <v>1</v>
      </c>
      <c r="G108" s="37" t="n">
        <v>1</v>
      </c>
      <c r="H108" s="37" t="n">
        <v>0</v>
      </c>
    </row>
    <row r="109" customFormat="false" ht="15" hidden="false" customHeight="false" outlineLevel="0" collapsed="false">
      <c r="A109" s="48" t="n">
        <v>46271</v>
      </c>
      <c r="B109" s="49" t="s">
        <v>26</v>
      </c>
      <c r="C109" s="49" t="s">
        <v>51</v>
      </c>
      <c r="D109" s="19" t="n">
        <v>0</v>
      </c>
      <c r="E109" s="21" t="n">
        <v>0</v>
      </c>
      <c r="F109" s="37" t="n">
        <v>16</v>
      </c>
      <c r="G109" s="37" t="n">
        <v>10</v>
      </c>
      <c r="H109" s="37" t="n">
        <v>1</v>
      </c>
    </row>
    <row r="110" customFormat="false" ht="15" hidden="false" customHeight="false" outlineLevel="0" collapsed="false">
      <c r="A110" s="48" t="n">
        <v>46271</v>
      </c>
      <c r="B110" s="49" t="s">
        <v>26</v>
      </c>
      <c r="C110" s="49" t="s">
        <v>52</v>
      </c>
      <c r="D110" s="19" t="n">
        <v>121579.6491</v>
      </c>
      <c r="E110" s="21" t="n">
        <v>14</v>
      </c>
      <c r="F110" s="37" t="n">
        <v>2</v>
      </c>
      <c r="G110" s="37" t="n">
        <v>2</v>
      </c>
      <c r="H110" s="37" t="n">
        <v>0</v>
      </c>
    </row>
    <row r="111" customFormat="false" ht="15" hidden="false" customHeight="false" outlineLevel="0" collapsed="false">
      <c r="A111" s="48" t="n">
        <v>46271</v>
      </c>
      <c r="B111" s="49" t="s">
        <v>26</v>
      </c>
      <c r="C111" s="49" t="s">
        <v>53</v>
      </c>
      <c r="D111" s="19" t="n">
        <v>29489.47155</v>
      </c>
      <c r="E111" s="21" t="n">
        <v>5.5</v>
      </c>
      <c r="F111" s="37" t="n">
        <v>0.5</v>
      </c>
      <c r="G111" s="37" t="n">
        <v>1</v>
      </c>
      <c r="H111" s="37" t="n">
        <v>0</v>
      </c>
    </row>
    <row r="112" customFormat="false" ht="15" hidden="false" customHeight="false" outlineLevel="0" collapsed="false">
      <c r="A112" s="48" t="n">
        <v>46271</v>
      </c>
      <c r="B112" s="49" t="s">
        <v>26</v>
      </c>
      <c r="C112" s="49" t="s">
        <v>22</v>
      </c>
      <c r="D112" s="19" t="n">
        <v>713421.0972</v>
      </c>
      <c r="E112" s="21" t="n">
        <v>83</v>
      </c>
      <c r="F112" s="37" t="n">
        <v>18</v>
      </c>
      <c r="G112" s="37" t="n">
        <v>4</v>
      </c>
      <c r="H112" s="37" t="n">
        <v>0</v>
      </c>
    </row>
    <row r="113" customFormat="false" ht="15" hidden="false" customHeight="false" outlineLevel="0" collapsed="false">
      <c r="A113" s="48" t="n">
        <v>46271</v>
      </c>
      <c r="B113" s="49" t="s">
        <v>26</v>
      </c>
      <c r="C113" s="49" t="s">
        <v>55</v>
      </c>
      <c r="D113" s="19" t="n">
        <v>1200411.43</v>
      </c>
      <c r="E113" s="21" t="n">
        <v>37</v>
      </c>
      <c r="F113" s="37" t="n">
        <v>10</v>
      </c>
      <c r="G113" s="37" t="n">
        <v>5</v>
      </c>
      <c r="H113" s="37" t="n">
        <v>1</v>
      </c>
    </row>
    <row r="114" customFormat="false" ht="15" hidden="false" customHeight="false" outlineLevel="0" collapsed="false">
      <c r="A114" s="48" t="n">
        <v>46271</v>
      </c>
      <c r="B114" s="49" t="s">
        <v>26</v>
      </c>
      <c r="C114" s="49" t="s">
        <v>56</v>
      </c>
      <c r="D114" s="19" t="n">
        <v>619902.725</v>
      </c>
      <c r="E114" s="21" t="n">
        <v>36.5</v>
      </c>
      <c r="F114" s="37" t="n">
        <v>26</v>
      </c>
      <c r="G114" s="37" t="n">
        <v>8.5</v>
      </c>
      <c r="H114" s="37" t="n">
        <v>1</v>
      </c>
    </row>
    <row r="115" customFormat="false" ht="15" hidden="false" customHeight="false" outlineLevel="0" collapsed="false">
      <c r="A115" s="48" t="n">
        <v>46271</v>
      </c>
      <c r="B115" s="49" t="s">
        <v>26</v>
      </c>
      <c r="C115" s="49" t="s">
        <v>57</v>
      </c>
      <c r="D115" s="19" t="n">
        <v>3768339.41</v>
      </c>
      <c r="E115" s="21" t="n">
        <v>103</v>
      </c>
      <c r="F115" s="37" t="n">
        <v>77</v>
      </c>
      <c r="G115" s="37" t="n">
        <v>64</v>
      </c>
      <c r="H115" s="37" t="n">
        <v>9</v>
      </c>
    </row>
    <row r="116" customFormat="false" ht="15" hidden="false" customHeight="false" outlineLevel="0" collapsed="false">
      <c r="A116" s="48" t="n">
        <v>46271</v>
      </c>
      <c r="B116" s="49" t="s">
        <v>26</v>
      </c>
      <c r="C116" s="49" t="s">
        <v>58</v>
      </c>
      <c r="D116" s="19" t="n">
        <v>1008616.44</v>
      </c>
      <c r="E116" s="21" t="n">
        <v>84.5</v>
      </c>
      <c r="F116" s="37" t="n">
        <v>72</v>
      </c>
      <c r="G116" s="37" t="n">
        <v>32.5</v>
      </c>
      <c r="H116" s="37" t="n">
        <v>2</v>
      </c>
    </row>
    <row r="117" customFormat="false" ht="15" hidden="false" customHeight="false" outlineLevel="0" collapsed="false">
      <c r="A117" s="48" t="n">
        <v>46271</v>
      </c>
      <c r="B117" s="49" t="s">
        <v>27</v>
      </c>
      <c r="C117" s="49" t="s">
        <v>53</v>
      </c>
      <c r="D117" s="19" t="n">
        <v>58978.9431</v>
      </c>
      <c r="E117" s="21" t="n">
        <v>11</v>
      </c>
      <c r="F117" s="37" t="n">
        <v>1</v>
      </c>
      <c r="G117" s="37" t="n">
        <v>2</v>
      </c>
      <c r="H117" s="37" t="n">
        <v>0</v>
      </c>
    </row>
    <row r="118" customFormat="false" ht="15" hidden="false" customHeight="false" outlineLevel="0" collapsed="false">
      <c r="A118" s="48" t="n">
        <v>46271</v>
      </c>
      <c r="B118" s="49" t="s">
        <v>27</v>
      </c>
      <c r="C118" s="49" t="s">
        <v>56</v>
      </c>
      <c r="D118" s="19" t="n">
        <v>1239805.45</v>
      </c>
      <c r="E118" s="21" t="n">
        <v>73</v>
      </c>
      <c r="F118" s="37" t="n">
        <v>52</v>
      </c>
      <c r="G118" s="37" t="n">
        <v>17</v>
      </c>
      <c r="H118" s="37" t="n">
        <v>2</v>
      </c>
    </row>
    <row r="119" customFormat="false" ht="15" hidden="false" customHeight="false" outlineLevel="0" collapsed="false">
      <c r="A119" s="48" t="n">
        <v>46271</v>
      </c>
      <c r="B119" s="49" t="s">
        <v>27</v>
      </c>
      <c r="C119" s="49" t="s">
        <v>58</v>
      </c>
      <c r="D119" s="19" t="n">
        <v>2017232.88</v>
      </c>
      <c r="E119" s="21" t="n">
        <v>169</v>
      </c>
      <c r="F119" s="37" t="n">
        <v>144</v>
      </c>
      <c r="G119" s="37" t="n">
        <v>65</v>
      </c>
      <c r="H119" s="37" t="n">
        <v>4</v>
      </c>
    </row>
    <row r="120" customFormat="false" ht="15" hidden="false" customHeight="false" outlineLevel="0" collapsed="false">
      <c r="A120" s="48" t="n">
        <v>46271</v>
      </c>
      <c r="B120" s="49" t="s">
        <v>108</v>
      </c>
      <c r="C120" s="49" t="s">
        <v>51</v>
      </c>
      <c r="D120" s="19" t="n">
        <v>0</v>
      </c>
      <c r="E120" s="21" t="n">
        <v>0</v>
      </c>
      <c r="F120" s="37" t="n">
        <v>28</v>
      </c>
      <c r="G120" s="37" t="n">
        <v>20</v>
      </c>
      <c r="H120" s="37" t="n">
        <v>0</v>
      </c>
    </row>
    <row r="121" customFormat="false" ht="15" hidden="false" customHeight="false" outlineLevel="0" collapsed="false">
      <c r="A121" s="48" t="n">
        <v>46271</v>
      </c>
      <c r="B121" s="49" t="s">
        <v>108</v>
      </c>
      <c r="C121" s="49" t="s">
        <v>52</v>
      </c>
      <c r="D121" s="19" t="n">
        <v>26969.3676</v>
      </c>
      <c r="E121" s="21" t="n">
        <v>5</v>
      </c>
      <c r="F121" s="37" t="n">
        <v>1</v>
      </c>
      <c r="G121" s="37" t="n">
        <v>0</v>
      </c>
      <c r="H121" s="37" t="n">
        <v>0</v>
      </c>
    </row>
    <row r="122" customFormat="false" ht="15" hidden="false" customHeight="false" outlineLevel="0" collapsed="false">
      <c r="A122" s="48" t="n">
        <v>46271</v>
      </c>
      <c r="B122" s="49" t="s">
        <v>108</v>
      </c>
      <c r="C122" s="49" t="s">
        <v>53</v>
      </c>
      <c r="D122" s="19" t="n">
        <v>29489.47155</v>
      </c>
      <c r="E122" s="21" t="n">
        <v>5.5</v>
      </c>
      <c r="F122" s="37" t="n">
        <v>0.5</v>
      </c>
      <c r="G122" s="37" t="n">
        <v>1</v>
      </c>
      <c r="H122" s="37" t="n">
        <v>0</v>
      </c>
    </row>
    <row r="123" customFormat="false" ht="15" hidden="false" customHeight="false" outlineLevel="0" collapsed="false">
      <c r="A123" s="48" t="n">
        <v>46271</v>
      </c>
      <c r="B123" s="49" t="s">
        <v>108</v>
      </c>
      <c r="C123" s="49" t="s">
        <v>22</v>
      </c>
      <c r="D123" s="19" t="n">
        <v>853440.5313</v>
      </c>
      <c r="E123" s="21" t="n">
        <v>141</v>
      </c>
      <c r="F123" s="37" t="n">
        <v>72</v>
      </c>
      <c r="G123" s="37" t="n">
        <v>14</v>
      </c>
      <c r="H123" s="37" t="n">
        <v>0</v>
      </c>
    </row>
    <row r="124" customFormat="false" ht="15" hidden="false" customHeight="false" outlineLevel="0" collapsed="false">
      <c r="A124" s="48" t="n">
        <v>46271</v>
      </c>
      <c r="B124" s="49" t="s">
        <v>108</v>
      </c>
      <c r="C124" s="49" t="s">
        <v>55</v>
      </c>
      <c r="D124" s="19" t="n">
        <v>533682.79</v>
      </c>
      <c r="E124" s="21" t="n">
        <v>18</v>
      </c>
      <c r="F124" s="37" t="n">
        <v>11</v>
      </c>
      <c r="G124" s="37" t="n">
        <v>4</v>
      </c>
      <c r="H124" s="37" t="n">
        <v>0</v>
      </c>
    </row>
    <row r="125" customFormat="false" ht="15" hidden="false" customHeight="false" outlineLevel="0" collapsed="false">
      <c r="A125" s="48" t="n">
        <v>46271</v>
      </c>
      <c r="B125" s="49" t="s">
        <v>108</v>
      </c>
      <c r="C125" s="49" t="s">
        <v>56</v>
      </c>
      <c r="D125" s="19" t="n">
        <v>619902.725</v>
      </c>
      <c r="E125" s="21" t="n">
        <v>36.5</v>
      </c>
      <c r="F125" s="37" t="n">
        <v>26</v>
      </c>
      <c r="G125" s="37" t="n">
        <v>8.5</v>
      </c>
      <c r="H125" s="37" t="n">
        <v>1</v>
      </c>
    </row>
    <row r="126" customFormat="false" ht="15" hidden="false" customHeight="false" outlineLevel="0" collapsed="false">
      <c r="A126" s="48" t="n">
        <v>46271</v>
      </c>
      <c r="B126" s="49" t="s">
        <v>108</v>
      </c>
      <c r="C126" s="49" t="s">
        <v>57</v>
      </c>
      <c r="D126" s="19" t="n">
        <v>6801603.66</v>
      </c>
      <c r="E126" s="21" t="n">
        <v>186</v>
      </c>
      <c r="F126" s="37" t="n">
        <v>93</v>
      </c>
      <c r="G126" s="37" t="n">
        <v>43</v>
      </c>
      <c r="H126" s="37" t="n">
        <v>2</v>
      </c>
    </row>
    <row r="127" customFormat="false" ht="15" hidden="false" customHeight="false" outlineLevel="0" collapsed="false">
      <c r="A127" s="48" t="n">
        <v>46271</v>
      </c>
      <c r="B127" s="49" t="s">
        <v>108</v>
      </c>
      <c r="C127" s="49" t="s">
        <v>58</v>
      </c>
      <c r="D127" s="19" t="n">
        <v>1008616.44</v>
      </c>
      <c r="E127" s="21" t="n">
        <v>84.5</v>
      </c>
      <c r="F127" s="37" t="n">
        <v>72</v>
      </c>
      <c r="G127" s="37" t="n">
        <v>32.5</v>
      </c>
      <c r="H127" s="37" t="n">
        <v>2</v>
      </c>
    </row>
    <row r="128" customFormat="false" ht="15" hidden="false" customHeight="false" outlineLevel="0" collapsed="false">
      <c r="A128" s="48" t="n">
        <v>46272</v>
      </c>
      <c r="B128" s="49" t="s">
        <v>26</v>
      </c>
      <c r="C128" s="49" t="s">
        <v>72</v>
      </c>
      <c r="D128" s="19" t="n">
        <v>0</v>
      </c>
      <c r="E128" s="21" t="n">
        <v>0</v>
      </c>
      <c r="F128" s="37" t="n">
        <v>1</v>
      </c>
      <c r="G128" s="37" t="n">
        <v>0</v>
      </c>
      <c r="H128" s="37" t="n">
        <v>1</v>
      </c>
    </row>
    <row r="129" customFormat="false" ht="15" hidden="false" customHeight="false" outlineLevel="0" collapsed="false">
      <c r="A129" s="48" t="n">
        <v>46272</v>
      </c>
      <c r="B129" s="49" t="s">
        <v>26</v>
      </c>
      <c r="C129" s="49" t="s">
        <v>51</v>
      </c>
      <c r="D129" s="19" t="n">
        <v>0</v>
      </c>
      <c r="E129" s="21" t="n">
        <v>0</v>
      </c>
      <c r="F129" s="37" t="n">
        <v>60</v>
      </c>
      <c r="G129" s="37" t="n">
        <v>44</v>
      </c>
      <c r="H129" s="37" t="n">
        <v>38</v>
      </c>
    </row>
    <row r="130" customFormat="false" ht="15" hidden="false" customHeight="false" outlineLevel="0" collapsed="false">
      <c r="A130" s="48" t="n">
        <v>46272</v>
      </c>
      <c r="B130" s="49" t="s">
        <v>26</v>
      </c>
      <c r="C130" s="49" t="s">
        <v>52</v>
      </c>
      <c r="D130" s="19" t="n">
        <v>294431.3568</v>
      </c>
      <c r="E130" s="21" t="n">
        <v>27</v>
      </c>
      <c r="F130" s="37" t="n">
        <v>6</v>
      </c>
      <c r="G130" s="37" t="n">
        <v>4</v>
      </c>
      <c r="H130" s="37" t="n">
        <v>3</v>
      </c>
    </row>
    <row r="131" customFormat="false" ht="15" hidden="false" customHeight="false" outlineLevel="0" collapsed="false">
      <c r="A131" s="48" t="n">
        <v>46272</v>
      </c>
      <c r="B131" s="49" t="s">
        <v>26</v>
      </c>
      <c r="C131" s="49" t="s">
        <v>53</v>
      </c>
      <c r="D131" s="19" t="n">
        <v>37574.60805</v>
      </c>
      <c r="E131" s="21" t="n">
        <v>26</v>
      </c>
      <c r="F131" s="37" t="n">
        <v>8.5</v>
      </c>
      <c r="G131" s="37" t="n">
        <v>8.5</v>
      </c>
      <c r="H131" s="37" t="n">
        <v>5.5</v>
      </c>
    </row>
    <row r="132" customFormat="false" ht="15" hidden="false" customHeight="false" outlineLevel="0" collapsed="false">
      <c r="A132" s="48" t="n">
        <v>46272</v>
      </c>
      <c r="B132" s="49" t="s">
        <v>26</v>
      </c>
      <c r="C132" s="49" t="s">
        <v>22</v>
      </c>
      <c r="D132" s="19" t="n">
        <v>820835.2089</v>
      </c>
      <c r="E132" s="21" t="n">
        <v>108</v>
      </c>
      <c r="F132" s="37" t="n">
        <v>45</v>
      </c>
      <c r="G132" s="37" t="n">
        <v>14</v>
      </c>
      <c r="H132" s="37" t="n">
        <v>13</v>
      </c>
    </row>
    <row r="133" customFormat="false" ht="15" hidden="false" customHeight="false" outlineLevel="0" collapsed="false">
      <c r="A133" s="48" t="n">
        <v>46272</v>
      </c>
      <c r="B133" s="49" t="s">
        <v>26</v>
      </c>
      <c r="C133" s="49" t="s">
        <v>55</v>
      </c>
      <c r="D133" s="19" t="n">
        <v>1727708.36</v>
      </c>
      <c r="E133" s="21" t="n">
        <v>70</v>
      </c>
      <c r="F133" s="37" t="n">
        <v>44</v>
      </c>
      <c r="G133" s="37" t="n">
        <v>18</v>
      </c>
      <c r="H133" s="37" t="n">
        <v>14</v>
      </c>
    </row>
    <row r="134" customFormat="false" ht="15" hidden="false" customHeight="false" outlineLevel="0" collapsed="false">
      <c r="A134" s="48" t="n">
        <v>46272</v>
      </c>
      <c r="B134" s="49" t="s">
        <v>26</v>
      </c>
      <c r="C134" s="49" t="s">
        <v>56</v>
      </c>
      <c r="D134" s="19" t="n">
        <v>914843.52</v>
      </c>
      <c r="E134" s="21" t="n">
        <v>76</v>
      </c>
      <c r="F134" s="37" t="n">
        <v>62.5</v>
      </c>
      <c r="G134" s="37" t="n">
        <v>20.5</v>
      </c>
      <c r="H134" s="37" t="n">
        <v>8.5</v>
      </c>
    </row>
    <row r="135" customFormat="false" ht="15" hidden="false" customHeight="false" outlineLevel="0" collapsed="false">
      <c r="A135" s="48" t="n">
        <v>46272</v>
      </c>
      <c r="B135" s="49" t="s">
        <v>26</v>
      </c>
      <c r="C135" s="49" t="s">
        <v>57</v>
      </c>
      <c r="D135" s="19" t="n">
        <v>8133666.58</v>
      </c>
      <c r="E135" s="21" t="n">
        <v>310</v>
      </c>
      <c r="F135" s="37" t="n">
        <v>247</v>
      </c>
      <c r="G135" s="37" t="n">
        <v>186</v>
      </c>
      <c r="H135" s="37" t="n">
        <v>139</v>
      </c>
    </row>
    <row r="136" customFormat="false" ht="15" hidden="false" customHeight="false" outlineLevel="0" collapsed="false">
      <c r="A136" s="48" t="n">
        <v>46272</v>
      </c>
      <c r="B136" s="49" t="s">
        <v>26</v>
      </c>
      <c r="C136" s="49" t="s">
        <v>58</v>
      </c>
      <c r="D136" s="19" t="n">
        <v>1378611.13</v>
      </c>
      <c r="E136" s="21" t="n">
        <v>139.5</v>
      </c>
      <c r="F136" s="37" t="n">
        <v>115.5</v>
      </c>
      <c r="G136" s="37" t="n">
        <v>57</v>
      </c>
      <c r="H136" s="37" t="n">
        <v>45.5</v>
      </c>
    </row>
    <row r="137" customFormat="false" ht="15" hidden="false" customHeight="false" outlineLevel="0" collapsed="false">
      <c r="A137" s="48" t="n">
        <v>46272</v>
      </c>
      <c r="B137" s="49" t="s">
        <v>26</v>
      </c>
      <c r="C137" s="49" t="s">
        <v>59</v>
      </c>
      <c r="D137" s="19" t="n">
        <v>0</v>
      </c>
      <c r="E137" s="21" t="n">
        <v>0</v>
      </c>
      <c r="F137" s="37" t="n">
        <v>1</v>
      </c>
      <c r="G137" s="37" t="n">
        <v>0</v>
      </c>
      <c r="H137" s="37" t="n">
        <v>0</v>
      </c>
    </row>
    <row r="138" customFormat="false" ht="15" hidden="false" customHeight="false" outlineLevel="0" collapsed="false">
      <c r="A138" s="48" t="n">
        <v>46272</v>
      </c>
      <c r="B138" s="49" t="s">
        <v>27</v>
      </c>
      <c r="C138" s="49" t="s">
        <v>53</v>
      </c>
      <c r="D138" s="19" t="n">
        <v>75149.2161</v>
      </c>
      <c r="E138" s="21" t="n">
        <v>52</v>
      </c>
      <c r="F138" s="37" t="n">
        <v>17</v>
      </c>
      <c r="G138" s="37" t="n">
        <v>17</v>
      </c>
      <c r="H138" s="37" t="n">
        <v>11</v>
      </c>
    </row>
    <row r="139" customFormat="false" ht="15" hidden="false" customHeight="false" outlineLevel="0" collapsed="false">
      <c r="A139" s="48" t="n">
        <v>46272</v>
      </c>
      <c r="B139" s="49" t="s">
        <v>27</v>
      </c>
      <c r="C139" s="49" t="s">
        <v>56</v>
      </c>
      <c r="D139" s="19" t="n">
        <v>1829687.04</v>
      </c>
      <c r="E139" s="21" t="n">
        <v>152</v>
      </c>
      <c r="F139" s="37" t="n">
        <v>125</v>
      </c>
      <c r="G139" s="37" t="n">
        <v>41</v>
      </c>
      <c r="H139" s="37" t="n">
        <v>17</v>
      </c>
    </row>
    <row r="140" customFormat="false" ht="15" hidden="false" customHeight="false" outlineLevel="0" collapsed="false">
      <c r="A140" s="48" t="n">
        <v>46272</v>
      </c>
      <c r="B140" s="49" t="s">
        <v>27</v>
      </c>
      <c r="C140" s="49" t="s">
        <v>58</v>
      </c>
      <c r="D140" s="19" t="n">
        <v>2757222.26</v>
      </c>
      <c r="E140" s="21" t="n">
        <v>279</v>
      </c>
      <c r="F140" s="37" t="n">
        <v>231</v>
      </c>
      <c r="G140" s="37" t="n">
        <v>114</v>
      </c>
      <c r="H140" s="37" t="n">
        <v>91</v>
      </c>
    </row>
    <row r="141" customFormat="false" ht="15" hidden="false" customHeight="false" outlineLevel="0" collapsed="false">
      <c r="A141" s="48" t="n">
        <v>46272</v>
      </c>
      <c r="B141" s="49" t="s">
        <v>108</v>
      </c>
      <c r="C141" s="49" t="s">
        <v>51</v>
      </c>
      <c r="D141" s="19" t="n">
        <v>0</v>
      </c>
      <c r="E141" s="21" t="n">
        <v>0</v>
      </c>
      <c r="F141" s="37" t="n">
        <v>48</v>
      </c>
      <c r="G141" s="37" t="n">
        <v>18</v>
      </c>
      <c r="H141" s="37" t="n">
        <v>28</v>
      </c>
    </row>
    <row r="142" customFormat="false" ht="15" hidden="false" customHeight="false" outlineLevel="0" collapsed="false">
      <c r="A142" s="48" t="n">
        <v>46272</v>
      </c>
      <c r="B142" s="49" t="s">
        <v>108</v>
      </c>
      <c r="C142" s="49" t="s">
        <v>52</v>
      </c>
      <c r="D142" s="19" t="n">
        <v>40870.1286</v>
      </c>
      <c r="E142" s="21" t="n">
        <v>8</v>
      </c>
      <c r="F142" s="37" t="n">
        <v>4</v>
      </c>
      <c r="G142" s="37" t="n">
        <v>2</v>
      </c>
      <c r="H142" s="37" t="n">
        <v>1</v>
      </c>
    </row>
    <row r="143" customFormat="false" ht="15" hidden="false" customHeight="false" outlineLevel="0" collapsed="false">
      <c r="A143" s="48" t="n">
        <v>46272</v>
      </c>
      <c r="B143" s="49" t="s">
        <v>108</v>
      </c>
      <c r="C143" s="49" t="s">
        <v>53</v>
      </c>
      <c r="D143" s="19" t="n">
        <v>37574.60805</v>
      </c>
      <c r="E143" s="21" t="n">
        <v>26</v>
      </c>
      <c r="F143" s="37" t="n">
        <v>8.5</v>
      </c>
      <c r="G143" s="37" t="n">
        <v>8.5</v>
      </c>
      <c r="H143" s="37" t="n">
        <v>5.5</v>
      </c>
    </row>
    <row r="144" customFormat="false" ht="15" hidden="false" customHeight="false" outlineLevel="0" collapsed="false">
      <c r="A144" s="48" t="n">
        <v>46272</v>
      </c>
      <c r="B144" s="49" t="s">
        <v>108</v>
      </c>
      <c r="C144" s="49" t="s">
        <v>22</v>
      </c>
      <c r="D144" s="19" t="n">
        <v>923237.4816</v>
      </c>
      <c r="E144" s="21" t="n">
        <v>149</v>
      </c>
      <c r="F144" s="37" t="n">
        <v>119</v>
      </c>
      <c r="G144" s="37" t="n">
        <v>30</v>
      </c>
      <c r="H144" s="37" t="n">
        <v>11</v>
      </c>
    </row>
    <row r="145" customFormat="false" ht="15" hidden="false" customHeight="false" outlineLevel="0" collapsed="false">
      <c r="A145" s="48" t="n">
        <v>46272</v>
      </c>
      <c r="B145" s="49" t="s">
        <v>108</v>
      </c>
      <c r="C145" s="49" t="s">
        <v>55</v>
      </c>
      <c r="D145" s="19" t="n">
        <v>1201457.66</v>
      </c>
      <c r="E145" s="21" t="n">
        <v>66</v>
      </c>
      <c r="F145" s="37" t="n">
        <v>35</v>
      </c>
      <c r="G145" s="37" t="n">
        <v>21</v>
      </c>
      <c r="H145" s="37" t="n">
        <v>8</v>
      </c>
    </row>
    <row r="146" customFormat="false" ht="15" hidden="false" customHeight="false" outlineLevel="0" collapsed="false">
      <c r="A146" s="48" t="n">
        <v>46272</v>
      </c>
      <c r="B146" s="49" t="s">
        <v>108</v>
      </c>
      <c r="C146" s="49" t="s">
        <v>56</v>
      </c>
      <c r="D146" s="19" t="n">
        <v>914843.52</v>
      </c>
      <c r="E146" s="21" t="n">
        <v>76</v>
      </c>
      <c r="F146" s="37" t="n">
        <v>62.5</v>
      </c>
      <c r="G146" s="37" t="n">
        <v>20.5</v>
      </c>
      <c r="H146" s="37" t="n">
        <v>8.5</v>
      </c>
    </row>
    <row r="147" customFormat="false" ht="15" hidden="false" customHeight="false" outlineLevel="0" collapsed="false">
      <c r="A147" s="48" t="n">
        <v>46272</v>
      </c>
      <c r="B147" s="49" t="s">
        <v>108</v>
      </c>
      <c r="C147" s="49" t="s">
        <v>57</v>
      </c>
      <c r="D147" s="19" t="n">
        <v>11078499.88</v>
      </c>
      <c r="E147" s="21" t="n">
        <v>372</v>
      </c>
      <c r="F147" s="37" t="n">
        <v>256</v>
      </c>
      <c r="G147" s="37" t="n">
        <v>144</v>
      </c>
      <c r="H147" s="37" t="n">
        <v>85</v>
      </c>
    </row>
    <row r="148" customFormat="false" ht="15" hidden="false" customHeight="false" outlineLevel="0" collapsed="false">
      <c r="A148" s="48" t="n">
        <v>46272</v>
      </c>
      <c r="B148" s="49" t="s">
        <v>108</v>
      </c>
      <c r="C148" s="49" t="s">
        <v>58</v>
      </c>
      <c r="D148" s="19" t="n">
        <v>1378611.13</v>
      </c>
      <c r="E148" s="21" t="n">
        <v>139.5</v>
      </c>
      <c r="F148" s="37" t="n">
        <v>115.5</v>
      </c>
      <c r="G148" s="37" t="n">
        <v>57</v>
      </c>
      <c r="H148" s="37" t="n">
        <v>45.5</v>
      </c>
    </row>
    <row r="149" customFormat="false" ht="15" hidden="false" customHeight="false" outlineLevel="0" collapsed="false">
      <c r="A149" s="48" t="n">
        <v>46272</v>
      </c>
      <c r="B149" s="49" t="s">
        <v>108</v>
      </c>
      <c r="C149" s="49" t="s">
        <v>59</v>
      </c>
      <c r="D149" s="19" t="n">
        <v>0</v>
      </c>
      <c r="E149" s="21" t="n">
        <v>0</v>
      </c>
      <c r="F149" s="37" t="n">
        <v>7</v>
      </c>
      <c r="G149" s="37" t="n">
        <v>0</v>
      </c>
      <c r="H149" s="37" t="n">
        <v>0</v>
      </c>
    </row>
    <row r="150" customFormat="false" ht="15" hidden="false" customHeight="false" outlineLevel="0" collapsed="false">
      <c r="A150" s="48" t="n">
        <v>46273</v>
      </c>
      <c r="B150" s="49" t="s">
        <v>26</v>
      </c>
      <c r="C150" s="49" t="s">
        <v>72</v>
      </c>
      <c r="D150" s="19" t="n">
        <v>0</v>
      </c>
      <c r="E150" s="21" t="n">
        <v>0</v>
      </c>
      <c r="F150" s="37" t="n">
        <v>2</v>
      </c>
      <c r="G150" s="37" t="n">
        <v>0</v>
      </c>
      <c r="H150" s="37" t="n">
        <v>0</v>
      </c>
    </row>
    <row r="151" customFormat="false" ht="15" hidden="false" customHeight="false" outlineLevel="0" collapsed="false">
      <c r="A151" s="48" t="n">
        <v>46273</v>
      </c>
      <c r="B151" s="49" t="s">
        <v>26</v>
      </c>
      <c r="C151" s="49" t="s">
        <v>51</v>
      </c>
      <c r="D151" s="19" t="n">
        <v>0</v>
      </c>
      <c r="E151" s="21" t="n">
        <v>0</v>
      </c>
      <c r="F151" s="37" t="n">
        <v>69</v>
      </c>
      <c r="G151" s="37" t="n">
        <v>27</v>
      </c>
      <c r="H151" s="37" t="n">
        <v>24</v>
      </c>
    </row>
    <row r="152" customFormat="false" ht="15" hidden="false" customHeight="false" outlineLevel="0" collapsed="false">
      <c r="A152" s="48" t="n">
        <v>46273</v>
      </c>
      <c r="B152" s="49" t="s">
        <v>26</v>
      </c>
      <c r="C152" s="49" t="s">
        <v>52</v>
      </c>
      <c r="D152" s="19" t="n">
        <v>185305.6548</v>
      </c>
      <c r="E152" s="21" t="n">
        <v>20</v>
      </c>
      <c r="F152" s="37" t="n">
        <v>4</v>
      </c>
      <c r="G152" s="37" t="n">
        <v>4</v>
      </c>
      <c r="H152" s="37" t="n">
        <v>5</v>
      </c>
    </row>
    <row r="153" customFormat="false" ht="15" hidden="false" customHeight="false" outlineLevel="0" collapsed="false">
      <c r="A153" s="48" t="n">
        <v>46273</v>
      </c>
      <c r="B153" s="49" t="s">
        <v>26</v>
      </c>
      <c r="C153" s="49" t="s">
        <v>53</v>
      </c>
      <c r="D153" s="19" t="n">
        <v>49215.31335</v>
      </c>
      <c r="E153" s="21" t="n">
        <v>24</v>
      </c>
      <c r="F153" s="37" t="n">
        <v>9.5</v>
      </c>
      <c r="G153" s="37" t="n">
        <v>2</v>
      </c>
      <c r="H153" s="37" t="n">
        <v>4</v>
      </c>
    </row>
    <row r="154" customFormat="false" ht="15" hidden="false" customHeight="false" outlineLevel="0" collapsed="false">
      <c r="A154" s="48" t="n">
        <v>46273</v>
      </c>
      <c r="B154" s="49" t="s">
        <v>26</v>
      </c>
      <c r="C154" s="49" t="s">
        <v>22</v>
      </c>
      <c r="D154" s="19" t="n">
        <v>826802.1342</v>
      </c>
      <c r="E154" s="21" t="n">
        <v>97</v>
      </c>
      <c r="F154" s="37" t="n">
        <v>61</v>
      </c>
      <c r="G154" s="37" t="n">
        <v>20</v>
      </c>
      <c r="H154" s="37" t="n">
        <v>13</v>
      </c>
    </row>
    <row r="155" customFormat="false" ht="15" hidden="false" customHeight="false" outlineLevel="0" collapsed="false">
      <c r="A155" s="48" t="n">
        <v>46273</v>
      </c>
      <c r="B155" s="49" t="s">
        <v>26</v>
      </c>
      <c r="C155" s="49" t="s">
        <v>55</v>
      </c>
      <c r="D155" s="19" t="n">
        <v>1121839.28</v>
      </c>
      <c r="E155" s="21" t="n">
        <v>42</v>
      </c>
      <c r="F155" s="37" t="n">
        <v>46</v>
      </c>
      <c r="G155" s="37" t="n">
        <v>25</v>
      </c>
      <c r="H155" s="37" t="n">
        <v>9</v>
      </c>
    </row>
    <row r="156" customFormat="false" ht="15" hidden="false" customHeight="false" outlineLevel="0" collapsed="false">
      <c r="A156" s="48" t="n">
        <v>46273</v>
      </c>
      <c r="B156" s="49" t="s">
        <v>26</v>
      </c>
      <c r="C156" s="49" t="s">
        <v>56</v>
      </c>
      <c r="D156" s="19" t="n">
        <v>360581.56</v>
      </c>
      <c r="E156" s="21" t="n">
        <v>34</v>
      </c>
      <c r="F156" s="37" t="n">
        <v>20.5</v>
      </c>
      <c r="G156" s="37" t="n">
        <v>11.5</v>
      </c>
      <c r="H156" s="37" t="n">
        <v>11</v>
      </c>
    </row>
    <row r="157" customFormat="false" ht="15" hidden="false" customHeight="false" outlineLevel="0" collapsed="false">
      <c r="A157" s="48" t="n">
        <v>46273</v>
      </c>
      <c r="B157" s="49" t="s">
        <v>26</v>
      </c>
      <c r="C157" s="49" t="s">
        <v>57</v>
      </c>
      <c r="D157" s="19" t="n">
        <v>7070272.78</v>
      </c>
      <c r="E157" s="21" t="n">
        <v>264</v>
      </c>
      <c r="F157" s="37" t="n">
        <v>311</v>
      </c>
      <c r="G157" s="37" t="n">
        <v>189</v>
      </c>
      <c r="H157" s="37" t="n">
        <v>145</v>
      </c>
    </row>
    <row r="158" customFormat="false" ht="15" hidden="false" customHeight="false" outlineLevel="0" collapsed="false">
      <c r="A158" s="48" t="n">
        <v>46273</v>
      </c>
      <c r="B158" s="49" t="s">
        <v>26</v>
      </c>
      <c r="C158" s="49" t="s">
        <v>58</v>
      </c>
      <c r="D158" s="19" t="n">
        <v>1586433.44</v>
      </c>
      <c r="E158" s="21" t="n">
        <v>165.5</v>
      </c>
      <c r="F158" s="37" t="n">
        <v>144</v>
      </c>
      <c r="G158" s="37" t="n">
        <v>67.5</v>
      </c>
      <c r="H158" s="37" t="n">
        <v>60.5</v>
      </c>
    </row>
    <row r="159" customFormat="false" ht="15" hidden="false" customHeight="false" outlineLevel="0" collapsed="false">
      <c r="A159" s="48" t="n">
        <v>46273</v>
      </c>
      <c r="B159" s="49" t="s">
        <v>26</v>
      </c>
      <c r="C159" s="49" t="s">
        <v>59</v>
      </c>
      <c r="D159" s="19" t="n">
        <v>0</v>
      </c>
      <c r="E159" s="21" t="n">
        <v>0</v>
      </c>
      <c r="F159" s="37" t="n">
        <v>4</v>
      </c>
      <c r="G159" s="37" t="n">
        <v>0</v>
      </c>
      <c r="H159" s="37" t="n">
        <v>0</v>
      </c>
    </row>
    <row r="160" customFormat="false" ht="15" hidden="false" customHeight="false" outlineLevel="0" collapsed="false">
      <c r="A160" s="48" t="n">
        <v>46273</v>
      </c>
      <c r="B160" s="49" t="s">
        <v>27</v>
      </c>
      <c r="C160" s="49" t="s">
        <v>53</v>
      </c>
      <c r="D160" s="19" t="n">
        <v>98430.6267</v>
      </c>
      <c r="E160" s="21" t="n">
        <v>48</v>
      </c>
      <c r="F160" s="37" t="n">
        <v>19</v>
      </c>
      <c r="G160" s="37" t="n">
        <v>4</v>
      </c>
      <c r="H160" s="37" t="n">
        <v>8</v>
      </c>
    </row>
    <row r="161" customFormat="false" ht="15" hidden="false" customHeight="false" outlineLevel="0" collapsed="false">
      <c r="A161" s="48" t="n">
        <v>46273</v>
      </c>
      <c r="B161" s="49" t="s">
        <v>27</v>
      </c>
      <c r="C161" s="49" t="s">
        <v>56</v>
      </c>
      <c r="D161" s="19" t="n">
        <v>721163.12</v>
      </c>
      <c r="E161" s="21" t="n">
        <v>68</v>
      </c>
      <c r="F161" s="37" t="n">
        <v>41</v>
      </c>
      <c r="G161" s="37" t="n">
        <v>23</v>
      </c>
      <c r="H161" s="37" t="n">
        <v>22</v>
      </c>
    </row>
    <row r="162" customFormat="false" ht="15" hidden="false" customHeight="false" outlineLevel="0" collapsed="false">
      <c r="A162" s="48" t="n">
        <v>46273</v>
      </c>
      <c r="B162" s="49" t="s">
        <v>27</v>
      </c>
      <c r="C162" s="49" t="s">
        <v>58</v>
      </c>
      <c r="D162" s="19" t="n">
        <v>3172866.88</v>
      </c>
      <c r="E162" s="21" t="n">
        <v>331</v>
      </c>
      <c r="F162" s="37" t="n">
        <v>288</v>
      </c>
      <c r="G162" s="37" t="n">
        <v>135</v>
      </c>
      <c r="H162" s="37" t="n">
        <v>121</v>
      </c>
    </row>
    <row r="163" customFormat="false" ht="15" hidden="false" customHeight="false" outlineLevel="0" collapsed="false">
      <c r="A163" s="48" t="n">
        <v>46273</v>
      </c>
      <c r="B163" s="49" t="s">
        <v>108</v>
      </c>
      <c r="C163" s="49" t="s">
        <v>51</v>
      </c>
      <c r="D163" s="19" t="n">
        <v>0</v>
      </c>
      <c r="E163" s="21" t="n">
        <v>0</v>
      </c>
      <c r="F163" s="37" t="n">
        <v>69</v>
      </c>
      <c r="G163" s="37" t="n">
        <v>35</v>
      </c>
      <c r="H163" s="37" t="n">
        <v>38</v>
      </c>
    </row>
    <row r="164" customFormat="false" ht="15" hidden="false" customHeight="false" outlineLevel="0" collapsed="false">
      <c r="A164" s="48" t="n">
        <v>46273</v>
      </c>
      <c r="B164" s="49" t="s">
        <v>108</v>
      </c>
      <c r="C164" s="49" t="s">
        <v>52</v>
      </c>
      <c r="D164" s="19" t="n">
        <v>58751.9919</v>
      </c>
      <c r="E164" s="21" t="n">
        <v>3</v>
      </c>
      <c r="F164" s="37" t="n">
        <v>3</v>
      </c>
      <c r="G164" s="37" t="n">
        <v>4</v>
      </c>
      <c r="H164" s="37" t="n">
        <v>3</v>
      </c>
    </row>
    <row r="165" customFormat="false" ht="15" hidden="false" customHeight="false" outlineLevel="0" collapsed="false">
      <c r="A165" s="48" t="n">
        <v>46273</v>
      </c>
      <c r="B165" s="49" t="s">
        <v>108</v>
      </c>
      <c r="C165" s="49" t="s">
        <v>53</v>
      </c>
      <c r="D165" s="19" t="n">
        <v>49215.31335</v>
      </c>
      <c r="E165" s="21" t="n">
        <v>24</v>
      </c>
      <c r="F165" s="37" t="n">
        <v>9.5</v>
      </c>
      <c r="G165" s="37" t="n">
        <v>2</v>
      </c>
      <c r="H165" s="37" t="n">
        <v>4</v>
      </c>
    </row>
    <row r="166" customFormat="false" ht="15" hidden="false" customHeight="false" outlineLevel="0" collapsed="false">
      <c r="A166" s="48" t="n">
        <v>46273</v>
      </c>
      <c r="B166" s="49" t="s">
        <v>108</v>
      </c>
      <c r="C166" s="49" t="s">
        <v>22</v>
      </c>
      <c r="D166" s="19" t="n">
        <v>977280.2361</v>
      </c>
      <c r="E166" s="21" t="n">
        <v>172</v>
      </c>
      <c r="F166" s="37" t="n">
        <v>118</v>
      </c>
      <c r="G166" s="37" t="n">
        <v>28</v>
      </c>
      <c r="H166" s="37" t="n">
        <v>11</v>
      </c>
    </row>
    <row r="167" customFormat="false" ht="15" hidden="false" customHeight="false" outlineLevel="0" collapsed="false">
      <c r="A167" s="48" t="n">
        <v>46273</v>
      </c>
      <c r="B167" s="49" t="s">
        <v>108</v>
      </c>
      <c r="C167" s="49" t="s">
        <v>55</v>
      </c>
      <c r="D167" s="19" t="n">
        <v>630078.34</v>
      </c>
      <c r="E167" s="21" t="n">
        <v>26</v>
      </c>
      <c r="F167" s="37" t="n">
        <v>20</v>
      </c>
      <c r="G167" s="37" t="n">
        <v>8</v>
      </c>
      <c r="H167" s="37" t="n">
        <v>15</v>
      </c>
    </row>
    <row r="168" customFormat="false" ht="15" hidden="false" customHeight="false" outlineLevel="0" collapsed="false">
      <c r="A168" s="48" t="n">
        <v>46273</v>
      </c>
      <c r="B168" s="49" t="s">
        <v>108</v>
      </c>
      <c r="C168" s="49" t="s">
        <v>56</v>
      </c>
      <c r="D168" s="19" t="n">
        <v>360581.56</v>
      </c>
      <c r="E168" s="21" t="n">
        <v>34</v>
      </c>
      <c r="F168" s="37" t="n">
        <v>20.5</v>
      </c>
      <c r="G168" s="37" t="n">
        <v>11.5</v>
      </c>
      <c r="H168" s="37" t="n">
        <v>11</v>
      </c>
    </row>
    <row r="169" customFormat="false" ht="15" hidden="false" customHeight="false" outlineLevel="0" collapsed="false">
      <c r="A169" s="48" t="n">
        <v>46273</v>
      </c>
      <c r="B169" s="49" t="s">
        <v>108</v>
      </c>
      <c r="C169" s="49" t="s">
        <v>57</v>
      </c>
      <c r="D169" s="19" t="n">
        <v>11139194.56</v>
      </c>
      <c r="E169" s="21" t="n">
        <v>375</v>
      </c>
      <c r="F169" s="37" t="n">
        <v>231</v>
      </c>
      <c r="G169" s="37" t="n">
        <v>117</v>
      </c>
      <c r="H169" s="37" t="n">
        <v>98</v>
      </c>
    </row>
    <row r="170" customFormat="false" ht="15" hidden="false" customHeight="false" outlineLevel="0" collapsed="false">
      <c r="A170" s="48" t="n">
        <v>46273</v>
      </c>
      <c r="B170" s="49" t="s">
        <v>108</v>
      </c>
      <c r="C170" s="49" t="s">
        <v>58</v>
      </c>
      <c r="D170" s="19" t="n">
        <v>1586433.44</v>
      </c>
      <c r="E170" s="21" t="n">
        <v>165.5</v>
      </c>
      <c r="F170" s="37" t="n">
        <v>144</v>
      </c>
      <c r="G170" s="37" t="n">
        <v>67.5</v>
      </c>
      <c r="H170" s="37" t="n">
        <v>60.5</v>
      </c>
    </row>
    <row r="171" customFormat="false" ht="15" hidden="false" customHeight="false" outlineLevel="0" collapsed="false">
      <c r="A171" s="48" t="n">
        <v>46273</v>
      </c>
      <c r="B171" s="49" t="s">
        <v>108</v>
      </c>
      <c r="C171" s="49" t="s">
        <v>59</v>
      </c>
      <c r="D171" s="19" t="n">
        <v>0</v>
      </c>
      <c r="E171" s="21" t="n">
        <v>0</v>
      </c>
      <c r="F171" s="37" t="n">
        <v>16</v>
      </c>
      <c r="G171" s="37" t="n">
        <v>0</v>
      </c>
      <c r="H171" s="3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34" t="s">
        <v>123</v>
      </c>
      <c r="B1" s="34" t="s">
        <v>102</v>
      </c>
      <c r="C1" s="34" t="s">
        <v>103</v>
      </c>
      <c r="D1" s="34" t="s">
        <v>129</v>
      </c>
      <c r="E1" s="34" t="s">
        <v>130</v>
      </c>
      <c r="F1" s="34" t="s">
        <v>131</v>
      </c>
    </row>
    <row r="2" customFormat="false" ht="15" hidden="false" customHeight="false" outlineLevel="0" collapsed="false">
      <c r="A2" s="48" t="n">
        <v>46266</v>
      </c>
      <c r="B2" s="49" t="s">
        <v>26</v>
      </c>
      <c r="C2" s="49" t="s">
        <v>52</v>
      </c>
      <c r="D2" s="19" t="n">
        <v>308482.7444</v>
      </c>
      <c r="E2" s="21" t="n">
        <v>38.56034304</v>
      </c>
      <c r="F2" s="21" t="n">
        <v>3.856034304</v>
      </c>
    </row>
    <row r="3" customFormat="false" ht="15" hidden="false" customHeight="false" outlineLevel="0" collapsed="false">
      <c r="A3" s="48" t="n">
        <v>46266</v>
      </c>
      <c r="B3" s="49" t="s">
        <v>26</v>
      </c>
      <c r="C3" s="49" t="s">
        <v>53</v>
      </c>
      <c r="D3" s="19" t="n">
        <v>43374.55347</v>
      </c>
      <c r="E3" s="21" t="n">
        <v>3.6145461225</v>
      </c>
      <c r="F3" s="21" t="n">
        <v>0</v>
      </c>
    </row>
    <row r="4" customFormat="false" ht="15" hidden="false" customHeight="false" outlineLevel="0" collapsed="false">
      <c r="A4" s="48" t="n">
        <v>46266</v>
      </c>
      <c r="B4" s="49" t="s">
        <v>26</v>
      </c>
      <c r="C4" s="49" t="s">
        <v>22</v>
      </c>
      <c r="D4" s="19" t="n">
        <v>763274.4475</v>
      </c>
      <c r="E4" s="21" t="n">
        <v>80.34467868</v>
      </c>
      <c r="F4" s="21" t="n">
        <v>8.480827194</v>
      </c>
    </row>
    <row r="5" customFormat="false" ht="15" hidden="false" customHeight="false" outlineLevel="0" collapsed="false">
      <c r="A5" s="48" t="n">
        <v>46266</v>
      </c>
      <c r="B5" s="49" t="s">
        <v>26</v>
      </c>
      <c r="C5" s="49" t="s">
        <v>55</v>
      </c>
      <c r="D5" s="19" t="n">
        <v>1762758.539</v>
      </c>
      <c r="E5" s="21" t="n">
        <v>117.5172359</v>
      </c>
      <c r="F5" s="21" t="n">
        <v>17.62758539</v>
      </c>
    </row>
    <row r="6" customFormat="false" ht="15" hidden="false" customHeight="false" outlineLevel="0" collapsed="false">
      <c r="A6" s="48" t="n">
        <v>46266</v>
      </c>
      <c r="B6" s="49" t="s">
        <v>26</v>
      </c>
      <c r="C6" s="49" t="s">
        <v>56</v>
      </c>
      <c r="D6" s="19" t="n">
        <v>390370.98125</v>
      </c>
      <c r="E6" s="21" t="n">
        <v>48.796372655</v>
      </c>
      <c r="F6" s="21" t="n">
        <v>0</v>
      </c>
    </row>
    <row r="7" customFormat="false" ht="15" hidden="false" customHeight="false" outlineLevel="0" collapsed="false">
      <c r="A7" s="48" t="n">
        <v>46266</v>
      </c>
      <c r="B7" s="49" t="s">
        <v>26</v>
      </c>
      <c r="C7" s="49" t="s">
        <v>57</v>
      </c>
      <c r="D7" s="19" t="n">
        <v>10576551.23</v>
      </c>
      <c r="E7" s="21" t="n">
        <v>556.6605913</v>
      </c>
      <c r="F7" s="21" t="n">
        <v>162.7161728</v>
      </c>
    </row>
    <row r="8" customFormat="false" ht="15" hidden="false" customHeight="false" outlineLevel="0" collapsed="false">
      <c r="A8" s="48" t="n">
        <v>46266</v>
      </c>
      <c r="B8" s="49" t="s">
        <v>26</v>
      </c>
      <c r="C8" s="49" t="s">
        <v>58</v>
      </c>
      <c r="D8" s="19" t="n">
        <v>2168727.6735</v>
      </c>
      <c r="E8" s="21" t="n">
        <v>417.06301415</v>
      </c>
      <c r="F8" s="21" t="n">
        <v>0</v>
      </c>
    </row>
    <row r="9" customFormat="false" ht="15" hidden="false" customHeight="false" outlineLevel="0" collapsed="false">
      <c r="A9" s="48" t="n">
        <v>46266</v>
      </c>
      <c r="B9" s="49" t="s">
        <v>27</v>
      </c>
      <c r="C9" s="49" t="s">
        <v>53</v>
      </c>
      <c r="D9" s="19" t="n">
        <v>86749.10694</v>
      </c>
      <c r="E9" s="21" t="n">
        <v>7.229092245</v>
      </c>
      <c r="F9" s="21" t="n">
        <v>0</v>
      </c>
    </row>
    <row r="10" customFormat="false" ht="15" hidden="false" customHeight="false" outlineLevel="0" collapsed="false">
      <c r="A10" s="48" t="n">
        <v>46266</v>
      </c>
      <c r="B10" s="49" t="s">
        <v>27</v>
      </c>
      <c r="C10" s="49" t="s">
        <v>56</v>
      </c>
      <c r="D10" s="19" t="n">
        <v>780741.9625</v>
      </c>
      <c r="E10" s="21" t="n">
        <v>97.59274531</v>
      </c>
      <c r="F10" s="21" t="n">
        <v>0</v>
      </c>
    </row>
    <row r="11" customFormat="false" ht="15" hidden="false" customHeight="false" outlineLevel="0" collapsed="false">
      <c r="A11" s="48" t="n">
        <v>46266</v>
      </c>
      <c r="B11" s="49" t="s">
        <v>27</v>
      </c>
      <c r="C11" s="49" t="s">
        <v>58</v>
      </c>
      <c r="D11" s="19" t="n">
        <v>4337455.347</v>
      </c>
      <c r="E11" s="21" t="n">
        <v>834.1260283</v>
      </c>
      <c r="F11" s="21" t="n">
        <v>0</v>
      </c>
    </row>
    <row r="12" customFormat="false" ht="15" hidden="false" customHeight="false" outlineLevel="0" collapsed="false">
      <c r="A12" s="48" t="n">
        <v>46266</v>
      </c>
      <c r="B12" s="49" t="s">
        <v>108</v>
      </c>
      <c r="C12" s="49" t="s">
        <v>52</v>
      </c>
      <c r="D12" s="19" t="n">
        <v>213400.7173</v>
      </c>
      <c r="E12" s="21" t="n">
        <v>30.48581676</v>
      </c>
      <c r="F12" s="21" t="n">
        <v>0</v>
      </c>
    </row>
    <row r="13" customFormat="false" ht="15" hidden="false" customHeight="false" outlineLevel="0" collapsed="false">
      <c r="A13" s="48" t="n">
        <v>46266</v>
      </c>
      <c r="B13" s="49" t="s">
        <v>108</v>
      </c>
      <c r="C13" s="49" t="s">
        <v>53</v>
      </c>
      <c r="D13" s="19" t="n">
        <v>43374.55347</v>
      </c>
      <c r="E13" s="21" t="n">
        <v>3.6145461225</v>
      </c>
      <c r="F13" s="21" t="n">
        <v>0</v>
      </c>
    </row>
    <row r="14" customFormat="false" ht="15" hidden="false" customHeight="false" outlineLevel="0" collapsed="false">
      <c r="A14" s="48" t="n">
        <v>46266</v>
      </c>
      <c r="B14" s="49" t="s">
        <v>108</v>
      </c>
      <c r="C14" s="49" t="s">
        <v>54</v>
      </c>
      <c r="D14" s="19" t="n">
        <v>213400.7173</v>
      </c>
      <c r="E14" s="21" t="n">
        <v>29.22096636</v>
      </c>
      <c r="F14" s="21" t="n">
        <v>0</v>
      </c>
    </row>
    <row r="15" customFormat="false" ht="15" hidden="false" customHeight="false" outlineLevel="0" collapsed="false">
      <c r="A15" s="48" t="n">
        <v>46266</v>
      </c>
      <c r="B15" s="49" t="s">
        <v>108</v>
      </c>
      <c r="C15" s="49" t="s">
        <v>22</v>
      </c>
      <c r="D15" s="19" t="n">
        <v>853602.8693</v>
      </c>
      <c r="E15" s="21" t="n">
        <v>118.5559541</v>
      </c>
      <c r="F15" s="21" t="n">
        <v>0</v>
      </c>
    </row>
    <row r="16" customFormat="false" ht="15" hidden="false" customHeight="false" outlineLevel="0" collapsed="false">
      <c r="A16" s="48" t="n">
        <v>46266</v>
      </c>
      <c r="B16" s="49" t="s">
        <v>108</v>
      </c>
      <c r="C16" s="49" t="s">
        <v>55</v>
      </c>
      <c r="D16" s="19" t="n">
        <v>1067003.587</v>
      </c>
      <c r="E16" s="21" t="n">
        <v>76.2145419</v>
      </c>
      <c r="F16" s="21" t="n">
        <v>0</v>
      </c>
    </row>
    <row r="17" customFormat="false" ht="15" hidden="false" customHeight="false" outlineLevel="0" collapsed="false">
      <c r="A17" s="48" t="n">
        <v>46266</v>
      </c>
      <c r="B17" s="49" t="s">
        <v>108</v>
      </c>
      <c r="C17" s="49" t="s">
        <v>56</v>
      </c>
      <c r="D17" s="19" t="n">
        <v>390370.98125</v>
      </c>
      <c r="E17" s="21" t="n">
        <v>48.796372655</v>
      </c>
      <c r="F17" s="21" t="n">
        <v>0</v>
      </c>
    </row>
    <row r="18" customFormat="false" ht="15" hidden="false" customHeight="false" outlineLevel="0" collapsed="false">
      <c r="A18" s="48" t="n">
        <v>46266</v>
      </c>
      <c r="B18" s="49" t="s">
        <v>108</v>
      </c>
      <c r="C18" s="49" t="s">
        <v>57</v>
      </c>
      <c r="D18" s="19" t="n">
        <v>7029491.075</v>
      </c>
      <c r="E18" s="21" t="n">
        <v>453.5155532</v>
      </c>
      <c r="F18" s="21" t="n">
        <v>0</v>
      </c>
    </row>
    <row r="19" customFormat="false" ht="15" hidden="false" customHeight="false" outlineLevel="0" collapsed="false">
      <c r="A19" s="48" t="n">
        <v>46266</v>
      </c>
      <c r="B19" s="49" t="s">
        <v>108</v>
      </c>
      <c r="C19" s="49" t="s">
        <v>58</v>
      </c>
      <c r="D19" s="19" t="n">
        <v>2168727.6735</v>
      </c>
      <c r="E19" s="21" t="n">
        <v>417.06301415</v>
      </c>
      <c r="F19" s="21" t="n">
        <v>0</v>
      </c>
    </row>
    <row r="20" customFormat="false" ht="15" hidden="false" customHeight="false" outlineLevel="0" collapsed="false">
      <c r="A20" s="48" t="n">
        <v>46267</v>
      </c>
      <c r="B20" s="49" t="s">
        <v>26</v>
      </c>
      <c r="C20" s="49" t="s">
        <v>52</v>
      </c>
      <c r="D20" s="19" t="n">
        <v>271297.6898</v>
      </c>
      <c r="E20" s="21" t="n">
        <v>33.91221123</v>
      </c>
      <c r="F20" s="21" t="n">
        <v>3.391221123</v>
      </c>
    </row>
    <row r="21" customFormat="false" ht="15" hidden="false" customHeight="false" outlineLevel="0" collapsed="false">
      <c r="A21" s="48" t="n">
        <v>46267</v>
      </c>
      <c r="B21" s="49" t="s">
        <v>26</v>
      </c>
      <c r="C21" s="49" t="s">
        <v>53</v>
      </c>
      <c r="D21" s="19" t="n">
        <v>40033.76996</v>
      </c>
      <c r="E21" s="21" t="n">
        <v>3.336147497</v>
      </c>
      <c r="F21" s="21" t="n">
        <v>0</v>
      </c>
    </row>
    <row r="22" customFormat="false" ht="15" hidden="false" customHeight="false" outlineLevel="0" collapsed="false">
      <c r="A22" s="48" t="n">
        <v>46267</v>
      </c>
      <c r="B22" s="49" t="s">
        <v>26</v>
      </c>
      <c r="C22" s="49" t="s">
        <v>22</v>
      </c>
      <c r="D22" s="19" t="n">
        <v>671267.9982</v>
      </c>
      <c r="E22" s="21" t="n">
        <v>70.65978928</v>
      </c>
      <c r="F22" s="21" t="n">
        <v>7.458533313</v>
      </c>
    </row>
    <row r="23" customFormat="false" ht="15" hidden="false" customHeight="false" outlineLevel="0" collapsed="false">
      <c r="A23" s="48" t="n">
        <v>46267</v>
      </c>
      <c r="B23" s="49" t="s">
        <v>26</v>
      </c>
      <c r="C23" s="49" t="s">
        <v>55</v>
      </c>
      <c r="D23" s="19" t="n">
        <v>1550272.513</v>
      </c>
      <c r="E23" s="21" t="n">
        <v>103.3515009</v>
      </c>
      <c r="F23" s="21" t="n">
        <v>15.50272513</v>
      </c>
    </row>
    <row r="24" customFormat="false" ht="15" hidden="false" customHeight="false" outlineLevel="0" collapsed="false">
      <c r="A24" s="48" t="n">
        <v>46267</v>
      </c>
      <c r="B24" s="49" t="s">
        <v>26</v>
      </c>
      <c r="C24" s="49" t="s">
        <v>56</v>
      </c>
      <c r="D24" s="19" t="n">
        <v>360303.92965</v>
      </c>
      <c r="E24" s="21" t="n">
        <v>45.037991205</v>
      </c>
      <c r="F24" s="21" t="n">
        <v>0</v>
      </c>
    </row>
    <row r="25" customFormat="false" ht="15" hidden="false" customHeight="false" outlineLevel="0" collapsed="false">
      <c r="A25" s="48" t="n">
        <v>46267</v>
      </c>
      <c r="B25" s="49" t="s">
        <v>26</v>
      </c>
      <c r="C25" s="49" t="s">
        <v>57</v>
      </c>
      <c r="D25" s="19" t="n">
        <v>9301635.079</v>
      </c>
      <c r="E25" s="21" t="n">
        <v>489.559741</v>
      </c>
      <c r="F25" s="21" t="n">
        <v>143.1020781</v>
      </c>
    </row>
    <row r="26" customFormat="false" ht="15" hidden="false" customHeight="false" outlineLevel="0" collapsed="false">
      <c r="A26" s="48" t="n">
        <v>46267</v>
      </c>
      <c r="B26" s="49" t="s">
        <v>26</v>
      </c>
      <c r="C26" s="49" t="s">
        <v>58</v>
      </c>
      <c r="D26" s="19" t="n">
        <v>2001688.498</v>
      </c>
      <c r="E26" s="21" t="n">
        <v>384.9400958</v>
      </c>
      <c r="F26" s="21" t="n">
        <v>0</v>
      </c>
    </row>
    <row r="27" customFormat="false" ht="15" hidden="false" customHeight="false" outlineLevel="0" collapsed="false">
      <c r="A27" s="48" t="n">
        <v>46267</v>
      </c>
      <c r="B27" s="49" t="s">
        <v>27</v>
      </c>
      <c r="C27" s="49" t="s">
        <v>53</v>
      </c>
      <c r="D27" s="19" t="n">
        <v>80067.53992</v>
      </c>
      <c r="E27" s="21" t="n">
        <v>6.672294994</v>
      </c>
      <c r="F27" s="21" t="n">
        <v>0</v>
      </c>
    </row>
    <row r="28" customFormat="false" ht="15" hidden="false" customHeight="false" outlineLevel="0" collapsed="false">
      <c r="A28" s="48" t="n">
        <v>46267</v>
      </c>
      <c r="B28" s="49" t="s">
        <v>27</v>
      </c>
      <c r="C28" s="49" t="s">
        <v>56</v>
      </c>
      <c r="D28" s="19" t="n">
        <v>720607.8593</v>
      </c>
      <c r="E28" s="21" t="n">
        <v>90.07598241</v>
      </c>
      <c r="F28" s="21" t="n">
        <v>0</v>
      </c>
    </row>
    <row r="29" customFormat="false" ht="15" hidden="false" customHeight="false" outlineLevel="0" collapsed="false">
      <c r="A29" s="48" t="n">
        <v>46267</v>
      </c>
      <c r="B29" s="49" t="s">
        <v>27</v>
      </c>
      <c r="C29" s="49" t="s">
        <v>58</v>
      </c>
      <c r="D29" s="19" t="n">
        <v>4003376.996</v>
      </c>
      <c r="E29" s="21" t="n">
        <v>769.8801916</v>
      </c>
      <c r="F29" s="21" t="n">
        <v>0</v>
      </c>
    </row>
    <row r="30" customFormat="false" ht="15" hidden="false" customHeight="false" outlineLevel="0" collapsed="false">
      <c r="A30" s="48" t="n">
        <v>46267</v>
      </c>
      <c r="B30" s="49" t="s">
        <v>108</v>
      </c>
      <c r="C30" s="49" t="s">
        <v>52</v>
      </c>
      <c r="D30" s="19" t="n">
        <v>206553.6355</v>
      </c>
      <c r="E30" s="21" t="n">
        <v>29.50766221</v>
      </c>
      <c r="F30" s="21" t="n">
        <v>0</v>
      </c>
    </row>
    <row r="31" customFormat="false" ht="15" hidden="false" customHeight="false" outlineLevel="0" collapsed="false">
      <c r="A31" s="48" t="n">
        <v>46267</v>
      </c>
      <c r="B31" s="49" t="s">
        <v>108</v>
      </c>
      <c r="C31" s="49" t="s">
        <v>53</v>
      </c>
      <c r="D31" s="19" t="n">
        <v>40033.76996</v>
      </c>
      <c r="E31" s="21" t="n">
        <v>3.336147497</v>
      </c>
      <c r="F31" s="21" t="n">
        <v>0</v>
      </c>
    </row>
    <row r="32" customFormat="false" ht="15" hidden="false" customHeight="false" outlineLevel="0" collapsed="false">
      <c r="A32" s="48" t="n">
        <v>46267</v>
      </c>
      <c r="B32" s="49" t="s">
        <v>108</v>
      </c>
      <c r="C32" s="49" t="s">
        <v>54</v>
      </c>
      <c r="D32" s="19" t="n">
        <v>206553.6355</v>
      </c>
      <c r="E32" s="21" t="n">
        <v>28.28339525</v>
      </c>
      <c r="F32" s="21" t="n">
        <v>0</v>
      </c>
    </row>
    <row r="33" customFormat="false" ht="15" hidden="false" customHeight="false" outlineLevel="0" collapsed="false">
      <c r="A33" s="48" t="n">
        <v>46267</v>
      </c>
      <c r="B33" s="49" t="s">
        <v>108</v>
      </c>
      <c r="C33" s="49" t="s">
        <v>22</v>
      </c>
      <c r="D33" s="19" t="n">
        <v>826214.5419</v>
      </c>
      <c r="E33" s="21" t="n">
        <v>114.7520197</v>
      </c>
      <c r="F33" s="21" t="n">
        <v>0</v>
      </c>
    </row>
    <row r="34" customFormat="false" ht="15" hidden="false" customHeight="false" outlineLevel="0" collapsed="false">
      <c r="A34" s="48" t="n">
        <v>46267</v>
      </c>
      <c r="B34" s="49" t="s">
        <v>108</v>
      </c>
      <c r="C34" s="49" t="s">
        <v>55</v>
      </c>
      <c r="D34" s="19" t="n">
        <v>1032768.177</v>
      </c>
      <c r="E34" s="21" t="n">
        <v>73.76915553</v>
      </c>
      <c r="F34" s="21" t="n">
        <v>0</v>
      </c>
    </row>
    <row r="35" customFormat="false" ht="15" hidden="false" customHeight="false" outlineLevel="0" collapsed="false">
      <c r="A35" s="48" t="n">
        <v>46267</v>
      </c>
      <c r="B35" s="49" t="s">
        <v>108</v>
      </c>
      <c r="C35" s="49" t="s">
        <v>56</v>
      </c>
      <c r="D35" s="19" t="n">
        <v>360303.92965</v>
      </c>
      <c r="E35" s="21" t="n">
        <v>45.037991205</v>
      </c>
      <c r="F35" s="21" t="n">
        <v>0</v>
      </c>
    </row>
    <row r="36" customFormat="false" ht="15" hidden="false" customHeight="false" outlineLevel="0" collapsed="false">
      <c r="A36" s="48" t="n">
        <v>46267</v>
      </c>
      <c r="B36" s="49" t="s">
        <v>108</v>
      </c>
      <c r="C36" s="49" t="s">
        <v>57</v>
      </c>
      <c r="D36" s="19" t="n">
        <v>6803945.907</v>
      </c>
      <c r="E36" s="21" t="n">
        <v>438.964252</v>
      </c>
      <c r="F36" s="21" t="n">
        <v>0</v>
      </c>
    </row>
    <row r="37" customFormat="false" ht="15" hidden="false" customHeight="false" outlineLevel="0" collapsed="false">
      <c r="A37" s="48" t="n">
        <v>46267</v>
      </c>
      <c r="B37" s="49" t="s">
        <v>108</v>
      </c>
      <c r="C37" s="49" t="s">
        <v>58</v>
      </c>
      <c r="D37" s="19" t="n">
        <v>2001688.498</v>
      </c>
      <c r="E37" s="21" t="n">
        <v>384.9400958</v>
      </c>
      <c r="F37" s="21" t="n">
        <v>0</v>
      </c>
    </row>
    <row r="38" customFormat="false" ht="15" hidden="false" customHeight="false" outlineLevel="0" collapsed="false">
      <c r="A38" s="48" t="n">
        <v>46268</v>
      </c>
      <c r="B38" s="49" t="s">
        <v>26</v>
      </c>
      <c r="C38" s="49" t="s">
        <v>52</v>
      </c>
      <c r="D38" s="19" t="n">
        <v>267560.4644</v>
      </c>
      <c r="E38" s="21" t="n">
        <v>33.44505804</v>
      </c>
      <c r="F38" s="21" t="n">
        <v>3.344505804</v>
      </c>
    </row>
    <row r="39" customFormat="false" ht="15" hidden="false" customHeight="false" outlineLevel="0" collapsed="false">
      <c r="A39" s="48" t="n">
        <v>46268</v>
      </c>
      <c r="B39" s="49" t="s">
        <v>26</v>
      </c>
      <c r="C39" s="49" t="s">
        <v>53</v>
      </c>
      <c r="D39" s="19" t="n">
        <v>37565.977555</v>
      </c>
      <c r="E39" s="21" t="n">
        <v>3.1304981295</v>
      </c>
      <c r="F39" s="21" t="n">
        <v>0</v>
      </c>
    </row>
    <row r="40" customFormat="false" ht="15" hidden="false" customHeight="false" outlineLevel="0" collapsed="false">
      <c r="A40" s="48" t="n">
        <v>46268</v>
      </c>
      <c r="B40" s="49" t="s">
        <v>26</v>
      </c>
      <c r="C40" s="49" t="s">
        <v>22</v>
      </c>
      <c r="D40" s="19" t="n">
        <v>662021.0347</v>
      </c>
      <c r="E40" s="21" t="n">
        <v>69.6864247</v>
      </c>
      <c r="F40" s="21" t="n">
        <v>7.355789274</v>
      </c>
    </row>
    <row r="41" customFormat="false" ht="15" hidden="false" customHeight="false" outlineLevel="0" collapsed="false">
      <c r="A41" s="48" t="n">
        <v>46268</v>
      </c>
      <c r="B41" s="49" t="s">
        <v>26</v>
      </c>
      <c r="C41" s="49" t="s">
        <v>55</v>
      </c>
      <c r="D41" s="19" t="n">
        <v>1528916.939</v>
      </c>
      <c r="E41" s="21" t="n">
        <v>101.9277959</v>
      </c>
      <c r="F41" s="21" t="n">
        <v>15.28916939</v>
      </c>
    </row>
    <row r="42" customFormat="false" ht="15" hidden="false" customHeight="false" outlineLevel="0" collapsed="false">
      <c r="A42" s="48" t="n">
        <v>46268</v>
      </c>
      <c r="B42" s="49" t="s">
        <v>26</v>
      </c>
      <c r="C42" s="49" t="s">
        <v>56</v>
      </c>
      <c r="D42" s="19" t="n">
        <v>338093.798</v>
      </c>
      <c r="E42" s="21" t="n">
        <v>42.261724745</v>
      </c>
      <c r="F42" s="21" t="n">
        <v>0</v>
      </c>
    </row>
    <row r="43" customFormat="false" ht="15" hidden="false" customHeight="false" outlineLevel="0" collapsed="false">
      <c r="A43" s="48" t="n">
        <v>46268</v>
      </c>
      <c r="B43" s="49" t="s">
        <v>26</v>
      </c>
      <c r="C43" s="49" t="s">
        <v>57</v>
      </c>
      <c r="D43" s="19" t="n">
        <v>9173501.635</v>
      </c>
      <c r="E43" s="21" t="n">
        <v>482.8158755</v>
      </c>
      <c r="F43" s="21" t="n">
        <v>141.1307944</v>
      </c>
    </row>
    <row r="44" customFormat="false" ht="15" hidden="false" customHeight="false" outlineLevel="0" collapsed="false">
      <c r="A44" s="48" t="n">
        <v>46268</v>
      </c>
      <c r="B44" s="49" t="s">
        <v>26</v>
      </c>
      <c r="C44" s="49" t="s">
        <v>58</v>
      </c>
      <c r="D44" s="19" t="n">
        <v>1878298.8775</v>
      </c>
      <c r="E44" s="21" t="n">
        <v>361.21132265</v>
      </c>
      <c r="F44" s="21" t="n">
        <v>0</v>
      </c>
    </row>
    <row r="45" customFormat="false" ht="15" hidden="false" customHeight="false" outlineLevel="0" collapsed="false">
      <c r="A45" s="48" t="n">
        <v>46268</v>
      </c>
      <c r="B45" s="49" t="s">
        <v>27</v>
      </c>
      <c r="C45" s="49" t="s">
        <v>53</v>
      </c>
      <c r="D45" s="19" t="n">
        <v>75131.95511</v>
      </c>
      <c r="E45" s="21" t="n">
        <v>6.260996259</v>
      </c>
      <c r="F45" s="21" t="n">
        <v>0</v>
      </c>
    </row>
    <row r="46" customFormat="false" ht="15" hidden="false" customHeight="false" outlineLevel="0" collapsed="false">
      <c r="A46" s="48" t="n">
        <v>46268</v>
      </c>
      <c r="B46" s="49" t="s">
        <v>27</v>
      </c>
      <c r="C46" s="49" t="s">
        <v>56</v>
      </c>
      <c r="D46" s="19" t="n">
        <v>676187.596</v>
      </c>
      <c r="E46" s="21" t="n">
        <v>84.52344949</v>
      </c>
      <c r="F46" s="21" t="n">
        <v>0</v>
      </c>
    </row>
    <row r="47" customFormat="false" ht="15" hidden="false" customHeight="false" outlineLevel="0" collapsed="false">
      <c r="A47" s="48" t="n">
        <v>46268</v>
      </c>
      <c r="B47" s="49" t="s">
        <v>27</v>
      </c>
      <c r="C47" s="49" t="s">
        <v>58</v>
      </c>
      <c r="D47" s="19" t="n">
        <v>3756597.755</v>
      </c>
      <c r="E47" s="21" t="n">
        <v>722.4226453</v>
      </c>
      <c r="F47" s="21" t="n">
        <v>0</v>
      </c>
    </row>
    <row r="48" customFormat="false" ht="15" hidden="false" customHeight="false" outlineLevel="0" collapsed="false">
      <c r="A48" s="48" t="n">
        <v>46268</v>
      </c>
      <c r="B48" s="49" t="s">
        <v>108</v>
      </c>
      <c r="C48" s="49" t="s">
        <v>52</v>
      </c>
      <c r="D48" s="19" t="n">
        <v>184545.1581</v>
      </c>
      <c r="E48" s="21" t="n">
        <v>26.36359402</v>
      </c>
      <c r="F48" s="21" t="n">
        <v>0</v>
      </c>
    </row>
    <row r="49" customFormat="false" ht="15" hidden="false" customHeight="false" outlineLevel="0" collapsed="false">
      <c r="A49" s="48" t="n">
        <v>46268</v>
      </c>
      <c r="B49" s="49" t="s">
        <v>108</v>
      </c>
      <c r="C49" s="49" t="s">
        <v>53</v>
      </c>
      <c r="D49" s="19" t="n">
        <v>37565.977555</v>
      </c>
      <c r="E49" s="21" t="n">
        <v>3.1304981295</v>
      </c>
      <c r="F49" s="21" t="n">
        <v>0</v>
      </c>
    </row>
    <row r="50" customFormat="false" ht="15" hidden="false" customHeight="false" outlineLevel="0" collapsed="false">
      <c r="A50" s="48" t="n">
        <v>46268</v>
      </c>
      <c r="B50" s="49" t="s">
        <v>108</v>
      </c>
      <c r="C50" s="49" t="s">
        <v>54</v>
      </c>
      <c r="D50" s="19" t="n">
        <v>184545.1581</v>
      </c>
      <c r="E50" s="21" t="n">
        <v>25.26977381</v>
      </c>
      <c r="F50" s="21" t="n">
        <v>0</v>
      </c>
    </row>
    <row r="51" customFormat="false" ht="15" hidden="false" customHeight="false" outlineLevel="0" collapsed="false">
      <c r="A51" s="48" t="n">
        <v>46268</v>
      </c>
      <c r="B51" s="49" t="s">
        <v>108</v>
      </c>
      <c r="C51" s="49" t="s">
        <v>22</v>
      </c>
      <c r="D51" s="19" t="n">
        <v>738180.6325</v>
      </c>
      <c r="E51" s="21" t="n">
        <v>102.5250879</v>
      </c>
      <c r="F51" s="21" t="n">
        <v>0</v>
      </c>
    </row>
    <row r="52" customFormat="false" ht="15" hidden="false" customHeight="false" outlineLevel="0" collapsed="false">
      <c r="A52" s="48" t="n">
        <v>46268</v>
      </c>
      <c r="B52" s="49" t="s">
        <v>108</v>
      </c>
      <c r="C52" s="49" t="s">
        <v>55</v>
      </c>
      <c r="D52" s="19" t="n">
        <v>922725.7907</v>
      </c>
      <c r="E52" s="21" t="n">
        <v>65.90898505</v>
      </c>
      <c r="F52" s="21" t="n">
        <v>0</v>
      </c>
    </row>
    <row r="53" customFormat="false" ht="15" hidden="false" customHeight="false" outlineLevel="0" collapsed="false">
      <c r="A53" s="48" t="n">
        <v>46268</v>
      </c>
      <c r="B53" s="49" t="s">
        <v>108</v>
      </c>
      <c r="C53" s="49" t="s">
        <v>56</v>
      </c>
      <c r="D53" s="19" t="n">
        <v>338093.798</v>
      </c>
      <c r="E53" s="21" t="n">
        <v>42.261724745</v>
      </c>
      <c r="F53" s="21" t="n">
        <v>0</v>
      </c>
    </row>
    <row r="54" customFormat="false" ht="15" hidden="false" customHeight="false" outlineLevel="0" collapsed="false">
      <c r="A54" s="48" t="n">
        <v>46268</v>
      </c>
      <c r="B54" s="49" t="s">
        <v>108</v>
      </c>
      <c r="C54" s="49" t="s">
        <v>57</v>
      </c>
      <c r="D54" s="19" t="n">
        <v>6078979.295</v>
      </c>
      <c r="E54" s="21" t="n">
        <v>392.1922126</v>
      </c>
      <c r="F54" s="21" t="n">
        <v>0</v>
      </c>
    </row>
    <row r="55" customFormat="false" ht="15" hidden="false" customHeight="false" outlineLevel="0" collapsed="false">
      <c r="A55" s="48" t="n">
        <v>46268</v>
      </c>
      <c r="B55" s="49" t="s">
        <v>108</v>
      </c>
      <c r="C55" s="49" t="s">
        <v>58</v>
      </c>
      <c r="D55" s="19" t="n">
        <v>1878298.8775</v>
      </c>
      <c r="E55" s="21" t="n">
        <v>361.21132265</v>
      </c>
      <c r="F55" s="21" t="n">
        <v>0</v>
      </c>
    </row>
    <row r="56" customFormat="false" ht="15" hidden="false" customHeight="false" outlineLevel="0" collapsed="false">
      <c r="A56" s="48" t="n">
        <v>46269</v>
      </c>
      <c r="B56" s="49" t="s">
        <v>26</v>
      </c>
      <c r="C56" s="49" t="s">
        <v>52</v>
      </c>
      <c r="D56" s="19" t="n">
        <v>244776.2591</v>
      </c>
      <c r="E56" s="21" t="n">
        <v>30.59703239</v>
      </c>
      <c r="F56" s="21" t="n">
        <v>3.059703239</v>
      </c>
    </row>
    <row r="57" customFormat="false" ht="15" hidden="false" customHeight="false" outlineLevel="0" collapsed="false">
      <c r="A57" s="48" t="n">
        <v>46269</v>
      </c>
      <c r="B57" s="49" t="s">
        <v>26</v>
      </c>
      <c r="C57" s="49" t="s">
        <v>53</v>
      </c>
      <c r="D57" s="19" t="n">
        <v>34829.959165</v>
      </c>
      <c r="E57" s="21" t="n">
        <v>2.902496597</v>
      </c>
      <c r="F57" s="21" t="n">
        <v>0</v>
      </c>
    </row>
    <row r="58" customFormat="false" ht="15" hidden="false" customHeight="false" outlineLevel="0" collapsed="false">
      <c r="A58" s="48" t="n">
        <v>46269</v>
      </c>
      <c r="B58" s="49" t="s">
        <v>26</v>
      </c>
      <c r="C58" s="49" t="s">
        <v>22</v>
      </c>
      <c r="D58" s="19" t="n">
        <v>605646.4011</v>
      </c>
      <c r="E58" s="21" t="n">
        <v>63.75225275</v>
      </c>
      <c r="F58" s="21" t="n">
        <v>6.729404457</v>
      </c>
    </row>
    <row r="59" customFormat="false" ht="15" hidden="false" customHeight="false" outlineLevel="0" collapsed="false">
      <c r="A59" s="48" t="n">
        <v>46269</v>
      </c>
      <c r="B59" s="49" t="s">
        <v>26</v>
      </c>
      <c r="C59" s="49" t="s">
        <v>55</v>
      </c>
      <c r="D59" s="19" t="n">
        <v>1398721.481</v>
      </c>
      <c r="E59" s="21" t="n">
        <v>93.24809871</v>
      </c>
      <c r="F59" s="21" t="n">
        <v>13.98721481</v>
      </c>
    </row>
    <row r="60" customFormat="false" ht="15" hidden="false" customHeight="false" outlineLevel="0" collapsed="false">
      <c r="A60" s="48" t="n">
        <v>46269</v>
      </c>
      <c r="B60" s="49" t="s">
        <v>26</v>
      </c>
      <c r="C60" s="49" t="s">
        <v>56</v>
      </c>
      <c r="D60" s="19" t="n">
        <v>313469.6325</v>
      </c>
      <c r="E60" s="21" t="n">
        <v>39.18370406</v>
      </c>
      <c r="F60" s="21" t="n">
        <v>0</v>
      </c>
    </row>
    <row r="61" customFormat="false" ht="15" hidden="false" customHeight="false" outlineLevel="0" collapsed="false">
      <c r="A61" s="48" t="n">
        <v>46269</v>
      </c>
      <c r="B61" s="49" t="s">
        <v>26</v>
      </c>
      <c r="C61" s="49" t="s">
        <v>57</v>
      </c>
      <c r="D61" s="19" t="n">
        <v>8392328.884</v>
      </c>
      <c r="E61" s="21" t="n">
        <v>441.7015202</v>
      </c>
      <c r="F61" s="21" t="n">
        <v>129.1127521</v>
      </c>
    </row>
    <row r="62" customFormat="false" ht="15" hidden="false" customHeight="false" outlineLevel="0" collapsed="false">
      <c r="A62" s="48" t="n">
        <v>46269</v>
      </c>
      <c r="B62" s="49" t="s">
        <v>26</v>
      </c>
      <c r="C62" s="49" t="s">
        <v>58</v>
      </c>
      <c r="D62" s="19" t="n">
        <v>1741497.9585</v>
      </c>
      <c r="E62" s="21" t="n">
        <v>334.9034535</v>
      </c>
      <c r="F62" s="21" t="n">
        <v>0</v>
      </c>
    </row>
    <row r="63" customFormat="false" ht="15" hidden="false" customHeight="false" outlineLevel="0" collapsed="false">
      <c r="A63" s="48" t="n">
        <v>46269</v>
      </c>
      <c r="B63" s="49" t="s">
        <v>27</v>
      </c>
      <c r="C63" s="49" t="s">
        <v>53</v>
      </c>
      <c r="D63" s="19" t="n">
        <v>69659.91833</v>
      </c>
      <c r="E63" s="21" t="n">
        <v>5.804993194</v>
      </c>
      <c r="F63" s="21" t="n">
        <v>0</v>
      </c>
    </row>
    <row r="64" customFormat="false" ht="15" hidden="false" customHeight="false" outlineLevel="0" collapsed="false">
      <c r="A64" s="48" t="n">
        <v>46269</v>
      </c>
      <c r="B64" s="49" t="s">
        <v>27</v>
      </c>
      <c r="C64" s="49" t="s">
        <v>56</v>
      </c>
      <c r="D64" s="19" t="n">
        <v>626939.265</v>
      </c>
      <c r="E64" s="21" t="n">
        <v>78.36740812</v>
      </c>
      <c r="F64" s="21" t="n">
        <v>0</v>
      </c>
    </row>
    <row r="65" customFormat="false" ht="15" hidden="false" customHeight="false" outlineLevel="0" collapsed="false">
      <c r="A65" s="48" t="n">
        <v>46269</v>
      </c>
      <c r="B65" s="49" t="s">
        <v>27</v>
      </c>
      <c r="C65" s="49" t="s">
        <v>58</v>
      </c>
      <c r="D65" s="19" t="n">
        <v>3482995.917</v>
      </c>
      <c r="E65" s="21" t="n">
        <v>669.806907</v>
      </c>
      <c r="F65" s="21" t="n">
        <v>0</v>
      </c>
    </row>
    <row r="66" customFormat="false" ht="15" hidden="false" customHeight="false" outlineLevel="0" collapsed="false">
      <c r="A66" s="48" t="n">
        <v>46269</v>
      </c>
      <c r="B66" s="49" t="s">
        <v>108</v>
      </c>
      <c r="C66" s="49" t="s">
        <v>52</v>
      </c>
      <c r="D66" s="19" t="n">
        <v>173459.4066</v>
      </c>
      <c r="E66" s="21" t="n">
        <v>24.77991523</v>
      </c>
      <c r="F66" s="21" t="n">
        <v>0</v>
      </c>
    </row>
    <row r="67" customFormat="false" ht="15" hidden="false" customHeight="false" outlineLevel="0" collapsed="false">
      <c r="A67" s="48" t="n">
        <v>46269</v>
      </c>
      <c r="B67" s="49" t="s">
        <v>108</v>
      </c>
      <c r="C67" s="49" t="s">
        <v>53</v>
      </c>
      <c r="D67" s="19" t="n">
        <v>34829.959165</v>
      </c>
      <c r="E67" s="21" t="n">
        <v>2.902496597</v>
      </c>
      <c r="F67" s="21" t="n">
        <v>0</v>
      </c>
    </row>
    <row r="68" customFormat="false" ht="15" hidden="false" customHeight="false" outlineLevel="0" collapsed="false">
      <c r="A68" s="48" t="n">
        <v>46269</v>
      </c>
      <c r="B68" s="49" t="s">
        <v>108</v>
      </c>
      <c r="C68" s="49" t="s">
        <v>54</v>
      </c>
      <c r="D68" s="19" t="n">
        <v>173459.4066</v>
      </c>
      <c r="E68" s="21" t="n">
        <v>23.75180153</v>
      </c>
      <c r="F68" s="21" t="n">
        <v>0</v>
      </c>
    </row>
    <row r="69" customFormat="false" ht="15" hidden="false" customHeight="false" outlineLevel="0" collapsed="false">
      <c r="A69" s="48" t="n">
        <v>46269</v>
      </c>
      <c r="B69" s="49" t="s">
        <v>108</v>
      </c>
      <c r="C69" s="49" t="s">
        <v>22</v>
      </c>
      <c r="D69" s="19" t="n">
        <v>693837.6263</v>
      </c>
      <c r="E69" s="21" t="n">
        <v>96.36633699</v>
      </c>
      <c r="F69" s="21" t="n">
        <v>0</v>
      </c>
    </row>
    <row r="70" customFormat="false" ht="15" hidden="false" customHeight="false" outlineLevel="0" collapsed="false">
      <c r="A70" s="48" t="n">
        <v>46269</v>
      </c>
      <c r="B70" s="49" t="s">
        <v>108</v>
      </c>
      <c r="C70" s="49" t="s">
        <v>55</v>
      </c>
      <c r="D70" s="19" t="n">
        <v>867297.0329</v>
      </c>
      <c r="E70" s="21" t="n">
        <v>61.94978807</v>
      </c>
      <c r="F70" s="21" t="n">
        <v>0</v>
      </c>
    </row>
    <row r="71" customFormat="false" ht="15" hidden="false" customHeight="false" outlineLevel="0" collapsed="false">
      <c r="A71" s="48" t="n">
        <v>46269</v>
      </c>
      <c r="B71" s="49" t="s">
        <v>108</v>
      </c>
      <c r="C71" s="49" t="s">
        <v>56</v>
      </c>
      <c r="D71" s="19" t="n">
        <v>313469.6325</v>
      </c>
      <c r="E71" s="21" t="n">
        <v>39.18370406</v>
      </c>
      <c r="F71" s="21" t="n">
        <v>0</v>
      </c>
    </row>
    <row r="72" customFormat="false" ht="15" hidden="false" customHeight="false" outlineLevel="0" collapsed="false">
      <c r="A72" s="48" t="n">
        <v>46269</v>
      </c>
      <c r="B72" s="49" t="s">
        <v>108</v>
      </c>
      <c r="C72" s="49" t="s">
        <v>57</v>
      </c>
      <c r="D72" s="19" t="n">
        <v>5713810.927</v>
      </c>
      <c r="E72" s="21" t="n">
        <v>368.632963</v>
      </c>
      <c r="F72" s="21" t="n">
        <v>0</v>
      </c>
    </row>
    <row r="73" customFormat="false" ht="15" hidden="false" customHeight="false" outlineLevel="0" collapsed="false">
      <c r="A73" s="48" t="n">
        <v>46269</v>
      </c>
      <c r="B73" s="49" t="s">
        <v>108</v>
      </c>
      <c r="C73" s="49" t="s">
        <v>58</v>
      </c>
      <c r="D73" s="19" t="n">
        <v>1741497.9585</v>
      </c>
      <c r="E73" s="21" t="n">
        <v>334.9034535</v>
      </c>
      <c r="F73" s="21" t="n">
        <v>0</v>
      </c>
    </row>
    <row r="74" customFormat="false" ht="15" hidden="false" customHeight="false" outlineLevel="0" collapsed="false">
      <c r="A74" s="48" t="n">
        <v>46270</v>
      </c>
      <c r="B74" s="49" t="s">
        <v>26</v>
      </c>
      <c r="C74" s="49" t="s">
        <v>52</v>
      </c>
      <c r="D74" s="19" t="n">
        <v>171805.2234</v>
      </c>
      <c r="E74" s="21" t="n">
        <v>21.47565292</v>
      </c>
      <c r="F74" s="21" t="n">
        <v>2.147565292</v>
      </c>
    </row>
    <row r="75" customFormat="false" ht="15" hidden="false" customHeight="false" outlineLevel="0" collapsed="false">
      <c r="A75" s="48" t="n">
        <v>46270</v>
      </c>
      <c r="B75" s="49" t="s">
        <v>26</v>
      </c>
      <c r="C75" s="49" t="s">
        <v>53</v>
      </c>
      <c r="D75" s="19" t="n">
        <v>23862.93307</v>
      </c>
      <c r="E75" s="21" t="n">
        <v>1.9885777555</v>
      </c>
      <c r="F75" s="21" t="n">
        <v>0</v>
      </c>
    </row>
    <row r="76" customFormat="false" ht="15" hidden="false" customHeight="false" outlineLevel="0" collapsed="false">
      <c r="A76" s="48" t="n">
        <v>46270</v>
      </c>
      <c r="B76" s="49" t="s">
        <v>26</v>
      </c>
      <c r="C76" s="49" t="s">
        <v>22</v>
      </c>
      <c r="D76" s="19" t="n">
        <v>425095.2098</v>
      </c>
      <c r="E76" s="21" t="n">
        <v>44.74686419</v>
      </c>
      <c r="F76" s="21" t="n">
        <v>4.723280109</v>
      </c>
    </row>
    <row r="77" customFormat="false" ht="15" hidden="false" customHeight="false" outlineLevel="0" collapsed="false">
      <c r="A77" s="48" t="n">
        <v>46270</v>
      </c>
      <c r="B77" s="49" t="s">
        <v>26</v>
      </c>
      <c r="C77" s="49" t="s">
        <v>55</v>
      </c>
      <c r="D77" s="19" t="n">
        <v>981744.1336</v>
      </c>
      <c r="E77" s="21" t="n">
        <v>65.4496089</v>
      </c>
      <c r="F77" s="21" t="n">
        <v>9.817441336</v>
      </c>
    </row>
    <row r="78" customFormat="false" ht="15" hidden="false" customHeight="false" outlineLevel="0" collapsed="false">
      <c r="A78" s="48" t="n">
        <v>46270</v>
      </c>
      <c r="B78" s="49" t="s">
        <v>26</v>
      </c>
      <c r="C78" s="49" t="s">
        <v>56</v>
      </c>
      <c r="D78" s="19" t="n">
        <v>214766.3976</v>
      </c>
      <c r="E78" s="21" t="n">
        <v>26.8457997</v>
      </c>
      <c r="F78" s="21" t="n">
        <v>0</v>
      </c>
    </row>
    <row r="79" customFormat="false" ht="15" hidden="false" customHeight="false" outlineLevel="0" collapsed="false">
      <c r="A79" s="48" t="n">
        <v>46270</v>
      </c>
      <c r="B79" s="49" t="s">
        <v>26</v>
      </c>
      <c r="C79" s="49" t="s">
        <v>57</v>
      </c>
      <c r="D79" s="19" t="n">
        <v>5890464.801</v>
      </c>
      <c r="E79" s="21" t="n">
        <v>310.0244632</v>
      </c>
      <c r="F79" s="21" t="n">
        <v>90.6225354</v>
      </c>
    </row>
    <row r="80" customFormat="false" ht="15" hidden="false" customHeight="false" outlineLevel="0" collapsed="false">
      <c r="A80" s="48" t="n">
        <v>46270</v>
      </c>
      <c r="B80" s="49" t="s">
        <v>26</v>
      </c>
      <c r="C80" s="49" t="s">
        <v>58</v>
      </c>
      <c r="D80" s="19" t="n">
        <v>1193146.6535</v>
      </c>
      <c r="E80" s="21" t="n">
        <v>229.4512795</v>
      </c>
      <c r="F80" s="21" t="n">
        <v>0</v>
      </c>
    </row>
    <row r="81" customFormat="false" ht="15" hidden="false" customHeight="false" outlineLevel="0" collapsed="false">
      <c r="A81" s="48" t="n">
        <v>46270</v>
      </c>
      <c r="B81" s="49" t="s">
        <v>27</v>
      </c>
      <c r="C81" s="49" t="s">
        <v>53</v>
      </c>
      <c r="D81" s="19" t="n">
        <v>47725.86614</v>
      </c>
      <c r="E81" s="21" t="n">
        <v>3.977155511</v>
      </c>
      <c r="F81" s="21" t="n">
        <v>0</v>
      </c>
    </row>
    <row r="82" customFormat="false" ht="15" hidden="false" customHeight="false" outlineLevel="0" collapsed="false">
      <c r="A82" s="48" t="n">
        <v>46270</v>
      </c>
      <c r="B82" s="49" t="s">
        <v>27</v>
      </c>
      <c r="C82" s="49" t="s">
        <v>56</v>
      </c>
      <c r="D82" s="19" t="n">
        <v>429532.7952</v>
      </c>
      <c r="E82" s="21" t="n">
        <v>53.6915994</v>
      </c>
      <c r="F82" s="21" t="n">
        <v>0</v>
      </c>
    </row>
    <row r="83" customFormat="false" ht="15" hidden="false" customHeight="false" outlineLevel="0" collapsed="false">
      <c r="A83" s="48" t="n">
        <v>46270</v>
      </c>
      <c r="B83" s="49" t="s">
        <v>27</v>
      </c>
      <c r="C83" s="49" t="s">
        <v>58</v>
      </c>
      <c r="D83" s="19" t="n">
        <v>2386293.307</v>
      </c>
      <c r="E83" s="21" t="n">
        <v>458.902559</v>
      </c>
      <c r="F83" s="21" t="n">
        <v>0</v>
      </c>
    </row>
    <row r="84" customFormat="false" ht="15" hidden="false" customHeight="false" outlineLevel="0" collapsed="false">
      <c r="A84" s="48" t="n">
        <v>46270</v>
      </c>
      <c r="B84" s="49" t="s">
        <v>108</v>
      </c>
      <c r="C84" s="49" t="s">
        <v>52</v>
      </c>
      <c r="D84" s="19" t="n">
        <v>115911.314</v>
      </c>
      <c r="E84" s="21" t="n">
        <v>16.55875914</v>
      </c>
      <c r="F84" s="21" t="n">
        <v>0</v>
      </c>
    </row>
    <row r="85" customFormat="false" ht="15" hidden="false" customHeight="false" outlineLevel="0" collapsed="false">
      <c r="A85" s="48" t="n">
        <v>46270</v>
      </c>
      <c r="B85" s="49" t="s">
        <v>108</v>
      </c>
      <c r="C85" s="49" t="s">
        <v>53</v>
      </c>
      <c r="D85" s="19" t="n">
        <v>23862.93307</v>
      </c>
      <c r="E85" s="21" t="n">
        <v>1.9885777555</v>
      </c>
      <c r="F85" s="21" t="n">
        <v>0</v>
      </c>
    </row>
    <row r="86" customFormat="false" ht="15" hidden="false" customHeight="false" outlineLevel="0" collapsed="false">
      <c r="A86" s="48" t="n">
        <v>46270</v>
      </c>
      <c r="B86" s="49" t="s">
        <v>108</v>
      </c>
      <c r="C86" s="49" t="s">
        <v>54</v>
      </c>
      <c r="D86" s="19" t="n">
        <v>115911.314</v>
      </c>
      <c r="E86" s="21" t="n">
        <v>15.87173956</v>
      </c>
      <c r="F86" s="21" t="n">
        <v>0</v>
      </c>
    </row>
    <row r="87" customFormat="false" ht="15" hidden="false" customHeight="false" outlineLevel="0" collapsed="false">
      <c r="A87" s="48" t="n">
        <v>46270</v>
      </c>
      <c r="B87" s="49" t="s">
        <v>108</v>
      </c>
      <c r="C87" s="49" t="s">
        <v>22</v>
      </c>
      <c r="D87" s="19" t="n">
        <v>463645.256</v>
      </c>
      <c r="E87" s="21" t="n">
        <v>64.39517444</v>
      </c>
      <c r="F87" s="21" t="n">
        <v>0</v>
      </c>
    </row>
    <row r="88" customFormat="false" ht="15" hidden="false" customHeight="false" outlineLevel="0" collapsed="false">
      <c r="A88" s="48" t="n">
        <v>46270</v>
      </c>
      <c r="B88" s="49" t="s">
        <v>108</v>
      </c>
      <c r="C88" s="49" t="s">
        <v>55</v>
      </c>
      <c r="D88" s="19" t="n">
        <v>579556.5699</v>
      </c>
      <c r="E88" s="21" t="n">
        <v>41.39689785</v>
      </c>
      <c r="F88" s="21" t="n">
        <v>0</v>
      </c>
    </row>
    <row r="89" customFormat="false" ht="15" hidden="false" customHeight="false" outlineLevel="0" collapsed="false">
      <c r="A89" s="48" t="n">
        <v>46270</v>
      </c>
      <c r="B89" s="49" t="s">
        <v>108</v>
      </c>
      <c r="C89" s="49" t="s">
        <v>56</v>
      </c>
      <c r="D89" s="19" t="n">
        <v>214766.3976</v>
      </c>
      <c r="E89" s="21" t="n">
        <v>26.8457997</v>
      </c>
      <c r="F89" s="21" t="n">
        <v>0</v>
      </c>
    </row>
    <row r="90" customFormat="false" ht="15" hidden="false" customHeight="false" outlineLevel="0" collapsed="false">
      <c r="A90" s="48" t="n">
        <v>46270</v>
      </c>
      <c r="B90" s="49" t="s">
        <v>108</v>
      </c>
      <c r="C90" s="49" t="s">
        <v>57</v>
      </c>
      <c r="D90" s="19" t="n">
        <v>3818157.49</v>
      </c>
      <c r="E90" s="21" t="n">
        <v>246.3327413</v>
      </c>
      <c r="F90" s="21" t="n">
        <v>0</v>
      </c>
    </row>
    <row r="91" customFormat="false" ht="15" hidden="false" customHeight="false" outlineLevel="0" collapsed="false">
      <c r="A91" s="48" t="n">
        <v>46270</v>
      </c>
      <c r="B91" s="49" t="s">
        <v>108</v>
      </c>
      <c r="C91" s="49" t="s">
        <v>58</v>
      </c>
      <c r="D91" s="19" t="n">
        <v>1193146.6535</v>
      </c>
      <c r="E91" s="21" t="n">
        <v>229.4512795</v>
      </c>
      <c r="F91" s="21" t="n">
        <v>0</v>
      </c>
    </row>
    <row r="92" customFormat="false" ht="15" hidden="false" customHeight="false" outlineLevel="0" collapsed="false">
      <c r="A92" s="48" t="n">
        <v>46271</v>
      </c>
      <c r="B92" s="49" t="s">
        <v>26</v>
      </c>
      <c r="C92" s="49" t="s">
        <v>52</v>
      </c>
      <c r="D92" s="19" t="n">
        <v>154563.1221</v>
      </c>
      <c r="E92" s="21" t="n">
        <v>19.32039026</v>
      </c>
      <c r="F92" s="21" t="n">
        <v>1.932039026</v>
      </c>
    </row>
    <row r="93" customFormat="false" ht="15" hidden="false" customHeight="false" outlineLevel="0" collapsed="false">
      <c r="A93" s="48" t="n">
        <v>46271</v>
      </c>
      <c r="B93" s="49" t="s">
        <v>26</v>
      </c>
      <c r="C93" s="49" t="s">
        <v>53</v>
      </c>
      <c r="D93" s="19" t="n">
        <v>22631.354405</v>
      </c>
      <c r="E93" s="21" t="n">
        <v>1.8859462005</v>
      </c>
      <c r="F93" s="21" t="n">
        <v>0</v>
      </c>
    </row>
    <row r="94" customFormat="false" ht="15" hidden="false" customHeight="false" outlineLevel="0" collapsed="false">
      <c r="A94" s="48" t="n">
        <v>46271</v>
      </c>
      <c r="B94" s="49" t="s">
        <v>26</v>
      </c>
      <c r="C94" s="49" t="s">
        <v>22</v>
      </c>
      <c r="D94" s="19" t="n">
        <v>382433.325</v>
      </c>
      <c r="E94" s="21" t="n">
        <v>40.25613947</v>
      </c>
      <c r="F94" s="21" t="n">
        <v>4.249259166</v>
      </c>
    </row>
    <row r="95" customFormat="false" ht="15" hidden="false" customHeight="false" outlineLevel="0" collapsed="false">
      <c r="A95" s="48" t="n">
        <v>46271</v>
      </c>
      <c r="B95" s="49" t="s">
        <v>26</v>
      </c>
      <c r="C95" s="49" t="s">
        <v>55</v>
      </c>
      <c r="D95" s="19" t="n">
        <v>883217.8406</v>
      </c>
      <c r="E95" s="21" t="n">
        <v>58.88118937</v>
      </c>
      <c r="F95" s="21" t="n">
        <v>8.832178406</v>
      </c>
    </row>
    <row r="96" customFormat="false" ht="15" hidden="false" customHeight="false" outlineLevel="0" collapsed="false">
      <c r="A96" s="48" t="n">
        <v>46271</v>
      </c>
      <c r="B96" s="49" t="s">
        <v>26</v>
      </c>
      <c r="C96" s="49" t="s">
        <v>56</v>
      </c>
      <c r="D96" s="19" t="n">
        <v>203682.18965</v>
      </c>
      <c r="E96" s="21" t="n">
        <v>25.460273705</v>
      </c>
      <c r="F96" s="21" t="n">
        <v>0</v>
      </c>
    </row>
    <row r="97" customFormat="false" ht="15" hidden="false" customHeight="false" outlineLevel="0" collapsed="false">
      <c r="A97" s="48" t="n">
        <v>46271</v>
      </c>
      <c r="B97" s="49" t="s">
        <v>26</v>
      </c>
      <c r="C97" s="49" t="s">
        <v>57</v>
      </c>
      <c r="D97" s="19" t="n">
        <v>5299307.043</v>
      </c>
      <c r="E97" s="21" t="n">
        <v>278.910897</v>
      </c>
      <c r="F97" s="21" t="n">
        <v>81.52780067</v>
      </c>
    </row>
    <row r="98" customFormat="false" ht="15" hidden="false" customHeight="false" outlineLevel="0" collapsed="false">
      <c r="A98" s="48" t="n">
        <v>46271</v>
      </c>
      <c r="B98" s="49" t="s">
        <v>26</v>
      </c>
      <c r="C98" s="49" t="s">
        <v>58</v>
      </c>
      <c r="D98" s="19" t="n">
        <v>1131567.7205</v>
      </c>
      <c r="E98" s="21" t="n">
        <v>217.609177</v>
      </c>
      <c r="F98" s="21" t="n">
        <v>0</v>
      </c>
    </row>
    <row r="99" customFormat="false" ht="15" hidden="false" customHeight="false" outlineLevel="0" collapsed="false">
      <c r="A99" s="48" t="n">
        <v>46271</v>
      </c>
      <c r="B99" s="49" t="s">
        <v>27</v>
      </c>
      <c r="C99" s="49" t="s">
        <v>53</v>
      </c>
      <c r="D99" s="19" t="n">
        <v>45262.70881</v>
      </c>
      <c r="E99" s="21" t="n">
        <v>3.771892401</v>
      </c>
      <c r="F99" s="21" t="n">
        <v>0</v>
      </c>
    </row>
    <row r="100" customFormat="false" ht="15" hidden="false" customHeight="false" outlineLevel="0" collapsed="false">
      <c r="A100" s="48" t="n">
        <v>46271</v>
      </c>
      <c r="B100" s="49" t="s">
        <v>27</v>
      </c>
      <c r="C100" s="49" t="s">
        <v>56</v>
      </c>
      <c r="D100" s="19" t="n">
        <v>407364.3793</v>
      </c>
      <c r="E100" s="21" t="n">
        <v>50.92054741</v>
      </c>
      <c r="F100" s="21" t="n">
        <v>0</v>
      </c>
    </row>
    <row r="101" customFormat="false" ht="15" hidden="false" customHeight="false" outlineLevel="0" collapsed="false">
      <c r="A101" s="48" t="n">
        <v>46271</v>
      </c>
      <c r="B101" s="49" t="s">
        <v>27</v>
      </c>
      <c r="C101" s="49" t="s">
        <v>58</v>
      </c>
      <c r="D101" s="19" t="n">
        <v>2263135.441</v>
      </c>
      <c r="E101" s="21" t="n">
        <v>435.218354</v>
      </c>
      <c r="F101" s="21" t="n">
        <v>0</v>
      </c>
    </row>
    <row r="102" customFormat="false" ht="15" hidden="false" customHeight="false" outlineLevel="0" collapsed="false">
      <c r="A102" s="48" t="n">
        <v>46271</v>
      </c>
      <c r="B102" s="49" t="s">
        <v>108</v>
      </c>
      <c r="C102" s="49" t="s">
        <v>52</v>
      </c>
      <c r="D102" s="19" t="n">
        <v>115911.314</v>
      </c>
      <c r="E102" s="21" t="n">
        <v>16.55875914</v>
      </c>
      <c r="F102" s="21" t="n">
        <v>0</v>
      </c>
    </row>
    <row r="103" customFormat="false" ht="15" hidden="false" customHeight="false" outlineLevel="0" collapsed="false">
      <c r="A103" s="48" t="n">
        <v>46271</v>
      </c>
      <c r="B103" s="49" t="s">
        <v>108</v>
      </c>
      <c r="C103" s="49" t="s">
        <v>53</v>
      </c>
      <c r="D103" s="19" t="n">
        <v>22631.354405</v>
      </c>
      <c r="E103" s="21" t="n">
        <v>1.8859462005</v>
      </c>
      <c r="F103" s="21" t="n">
        <v>0</v>
      </c>
    </row>
    <row r="104" customFormat="false" ht="15" hidden="false" customHeight="false" outlineLevel="0" collapsed="false">
      <c r="A104" s="48" t="n">
        <v>46271</v>
      </c>
      <c r="B104" s="49" t="s">
        <v>108</v>
      </c>
      <c r="C104" s="49" t="s">
        <v>54</v>
      </c>
      <c r="D104" s="19" t="n">
        <v>115911.314</v>
      </c>
      <c r="E104" s="21" t="n">
        <v>15.87173956</v>
      </c>
      <c r="F104" s="21" t="n">
        <v>0</v>
      </c>
    </row>
    <row r="105" customFormat="false" ht="15" hidden="false" customHeight="false" outlineLevel="0" collapsed="false">
      <c r="A105" s="48" t="n">
        <v>46271</v>
      </c>
      <c r="B105" s="49" t="s">
        <v>108</v>
      </c>
      <c r="C105" s="49" t="s">
        <v>22</v>
      </c>
      <c r="D105" s="19" t="n">
        <v>463645.256</v>
      </c>
      <c r="E105" s="21" t="n">
        <v>64.39517444</v>
      </c>
      <c r="F105" s="21" t="n">
        <v>0</v>
      </c>
    </row>
    <row r="106" customFormat="false" ht="15" hidden="false" customHeight="false" outlineLevel="0" collapsed="false">
      <c r="A106" s="48" t="n">
        <v>46271</v>
      </c>
      <c r="B106" s="49" t="s">
        <v>108</v>
      </c>
      <c r="C106" s="49" t="s">
        <v>55</v>
      </c>
      <c r="D106" s="19" t="n">
        <v>579556.5699</v>
      </c>
      <c r="E106" s="21" t="n">
        <v>41.39689785</v>
      </c>
      <c r="F106" s="21" t="n">
        <v>0</v>
      </c>
    </row>
    <row r="107" customFormat="false" ht="15" hidden="false" customHeight="false" outlineLevel="0" collapsed="false">
      <c r="A107" s="48" t="n">
        <v>46271</v>
      </c>
      <c r="B107" s="49" t="s">
        <v>108</v>
      </c>
      <c r="C107" s="49" t="s">
        <v>56</v>
      </c>
      <c r="D107" s="19" t="n">
        <v>203682.18965</v>
      </c>
      <c r="E107" s="21" t="n">
        <v>25.460273705</v>
      </c>
      <c r="F107" s="21" t="n">
        <v>0</v>
      </c>
    </row>
    <row r="108" customFormat="false" ht="15" hidden="false" customHeight="false" outlineLevel="0" collapsed="false">
      <c r="A108" s="48" t="n">
        <v>46271</v>
      </c>
      <c r="B108" s="49" t="s">
        <v>108</v>
      </c>
      <c r="C108" s="49" t="s">
        <v>57</v>
      </c>
      <c r="D108" s="19" t="n">
        <v>3818157.49</v>
      </c>
      <c r="E108" s="21" t="n">
        <v>246.3327413</v>
      </c>
      <c r="F108" s="21" t="n">
        <v>0</v>
      </c>
    </row>
    <row r="109" customFormat="false" ht="15" hidden="false" customHeight="false" outlineLevel="0" collapsed="false">
      <c r="A109" s="48" t="n">
        <v>46271</v>
      </c>
      <c r="B109" s="49" t="s">
        <v>108</v>
      </c>
      <c r="C109" s="49" t="s">
        <v>58</v>
      </c>
      <c r="D109" s="19" t="n">
        <v>1131567.7205</v>
      </c>
      <c r="E109" s="21" t="n">
        <v>217.609177</v>
      </c>
      <c r="F109" s="21" t="n">
        <v>0</v>
      </c>
    </row>
    <row r="110" customFormat="false" ht="15" hidden="false" customHeight="false" outlineLevel="0" collapsed="false">
      <c r="A110" s="48" t="n">
        <v>46272</v>
      </c>
      <c r="B110" s="49" t="s">
        <v>26</v>
      </c>
      <c r="C110" s="49" t="s">
        <v>52</v>
      </c>
      <c r="D110" s="19" t="n">
        <v>366394.652</v>
      </c>
      <c r="E110" s="21" t="n">
        <v>45.7993315</v>
      </c>
      <c r="F110" s="21" t="n">
        <v>4.57993315</v>
      </c>
    </row>
    <row r="111" customFormat="false" ht="15" hidden="false" customHeight="false" outlineLevel="0" collapsed="false">
      <c r="A111" s="48" t="n">
        <v>46272</v>
      </c>
      <c r="B111" s="49" t="s">
        <v>26</v>
      </c>
      <c r="C111" s="49" t="s">
        <v>53</v>
      </c>
      <c r="D111" s="19" t="n">
        <v>50902.05405</v>
      </c>
      <c r="E111" s="21" t="n">
        <v>4.241837839</v>
      </c>
      <c r="F111" s="21" t="n">
        <v>0</v>
      </c>
    </row>
    <row r="112" customFormat="false" ht="15" hidden="false" customHeight="false" outlineLevel="0" collapsed="false">
      <c r="A112" s="48" t="n">
        <v>46272</v>
      </c>
      <c r="B112" s="49" t="s">
        <v>26</v>
      </c>
      <c r="C112" s="49" t="s">
        <v>22</v>
      </c>
      <c r="D112" s="19" t="n">
        <v>906565.0532</v>
      </c>
      <c r="E112" s="21" t="n">
        <v>95.42790034</v>
      </c>
      <c r="F112" s="21" t="n">
        <v>10.07294504</v>
      </c>
    </row>
    <row r="113" customFormat="false" ht="15" hidden="false" customHeight="false" outlineLevel="0" collapsed="false">
      <c r="A113" s="48" t="n">
        <v>46272</v>
      </c>
      <c r="B113" s="49" t="s">
        <v>26</v>
      </c>
      <c r="C113" s="49" t="s">
        <v>55</v>
      </c>
      <c r="D113" s="19" t="n">
        <v>2093683.726</v>
      </c>
      <c r="E113" s="21" t="n">
        <v>139.578915</v>
      </c>
      <c r="F113" s="21" t="n">
        <v>20.93683726</v>
      </c>
    </row>
    <row r="114" customFormat="false" ht="15" hidden="false" customHeight="false" outlineLevel="0" collapsed="false">
      <c r="A114" s="48" t="n">
        <v>46272</v>
      </c>
      <c r="B114" s="49" t="s">
        <v>26</v>
      </c>
      <c r="C114" s="49" t="s">
        <v>56</v>
      </c>
      <c r="D114" s="19" t="n">
        <v>458118.48665</v>
      </c>
      <c r="E114" s="21" t="n">
        <v>57.26481085</v>
      </c>
      <c r="F114" s="21" t="n">
        <v>0</v>
      </c>
    </row>
    <row r="115" customFormat="false" ht="15" hidden="false" customHeight="false" outlineLevel="0" collapsed="false">
      <c r="A115" s="48" t="n">
        <v>46272</v>
      </c>
      <c r="B115" s="49" t="s">
        <v>26</v>
      </c>
      <c r="C115" s="49" t="s">
        <v>57</v>
      </c>
      <c r="D115" s="19" t="n">
        <v>12562102.35</v>
      </c>
      <c r="E115" s="21" t="n">
        <v>661.1632818</v>
      </c>
      <c r="F115" s="21" t="n">
        <v>193.2631131</v>
      </c>
    </row>
    <row r="116" customFormat="false" ht="15" hidden="false" customHeight="false" outlineLevel="0" collapsed="false">
      <c r="A116" s="48" t="n">
        <v>46272</v>
      </c>
      <c r="B116" s="49" t="s">
        <v>26</v>
      </c>
      <c r="C116" s="49" t="s">
        <v>58</v>
      </c>
      <c r="D116" s="19" t="n">
        <v>2545102.7035</v>
      </c>
      <c r="E116" s="21" t="n">
        <v>489.4428276</v>
      </c>
      <c r="F116" s="21" t="n">
        <v>0</v>
      </c>
    </row>
    <row r="117" customFormat="false" ht="15" hidden="false" customHeight="false" outlineLevel="0" collapsed="false">
      <c r="A117" s="48" t="n">
        <v>46272</v>
      </c>
      <c r="B117" s="49" t="s">
        <v>27</v>
      </c>
      <c r="C117" s="49" t="s">
        <v>53</v>
      </c>
      <c r="D117" s="19" t="n">
        <v>101804.1081</v>
      </c>
      <c r="E117" s="21" t="n">
        <v>8.483675678</v>
      </c>
      <c r="F117" s="21" t="n">
        <v>0</v>
      </c>
    </row>
    <row r="118" customFormat="false" ht="15" hidden="false" customHeight="false" outlineLevel="0" collapsed="false">
      <c r="A118" s="48" t="n">
        <v>46272</v>
      </c>
      <c r="B118" s="49" t="s">
        <v>27</v>
      </c>
      <c r="C118" s="49" t="s">
        <v>56</v>
      </c>
      <c r="D118" s="19" t="n">
        <v>916236.9733</v>
      </c>
      <c r="E118" s="21" t="n">
        <v>114.5296217</v>
      </c>
      <c r="F118" s="21" t="n">
        <v>0</v>
      </c>
    </row>
    <row r="119" customFormat="false" ht="15" hidden="false" customHeight="false" outlineLevel="0" collapsed="false">
      <c r="A119" s="48" t="n">
        <v>46272</v>
      </c>
      <c r="B119" s="49" t="s">
        <v>27</v>
      </c>
      <c r="C119" s="49" t="s">
        <v>58</v>
      </c>
      <c r="D119" s="19" t="n">
        <v>5090205.407</v>
      </c>
      <c r="E119" s="21" t="n">
        <v>978.8856552</v>
      </c>
      <c r="F119" s="21" t="n">
        <v>0</v>
      </c>
    </row>
    <row r="120" customFormat="false" ht="15" hidden="false" customHeight="false" outlineLevel="0" collapsed="false">
      <c r="A120" s="48" t="n">
        <v>46272</v>
      </c>
      <c r="B120" s="49" t="s">
        <v>108</v>
      </c>
      <c r="C120" s="49" t="s">
        <v>52</v>
      </c>
      <c r="D120" s="19" t="n">
        <v>247310.075</v>
      </c>
      <c r="E120" s="21" t="n">
        <v>35.33001071</v>
      </c>
      <c r="F120" s="21" t="n">
        <v>0</v>
      </c>
    </row>
    <row r="121" customFormat="false" ht="15" hidden="false" customHeight="false" outlineLevel="0" collapsed="false">
      <c r="A121" s="48" t="n">
        <v>46272</v>
      </c>
      <c r="B121" s="49" t="s">
        <v>108</v>
      </c>
      <c r="C121" s="49" t="s">
        <v>53</v>
      </c>
      <c r="D121" s="19" t="n">
        <v>50902.05405</v>
      </c>
      <c r="E121" s="21" t="n">
        <v>4.241837839</v>
      </c>
      <c r="F121" s="21" t="n">
        <v>0</v>
      </c>
    </row>
    <row r="122" customFormat="false" ht="15" hidden="false" customHeight="false" outlineLevel="0" collapsed="false">
      <c r="A122" s="48" t="n">
        <v>46272</v>
      </c>
      <c r="B122" s="49" t="s">
        <v>108</v>
      </c>
      <c r="C122" s="49" t="s">
        <v>54</v>
      </c>
      <c r="D122" s="19" t="n">
        <v>247310.075</v>
      </c>
      <c r="E122" s="21" t="n">
        <v>33.86417568</v>
      </c>
      <c r="F122" s="21" t="n">
        <v>0</v>
      </c>
    </row>
    <row r="123" customFormat="false" ht="15" hidden="false" customHeight="false" outlineLevel="0" collapsed="false">
      <c r="A123" s="48" t="n">
        <v>46272</v>
      </c>
      <c r="B123" s="49" t="s">
        <v>108</v>
      </c>
      <c r="C123" s="49" t="s">
        <v>22</v>
      </c>
      <c r="D123" s="19" t="n">
        <v>989240.3</v>
      </c>
      <c r="E123" s="21" t="n">
        <v>137.3944861</v>
      </c>
      <c r="F123" s="21" t="n">
        <v>0</v>
      </c>
    </row>
    <row r="124" customFormat="false" ht="15" hidden="false" customHeight="false" outlineLevel="0" collapsed="false">
      <c r="A124" s="48" t="n">
        <v>46272</v>
      </c>
      <c r="B124" s="49" t="s">
        <v>108</v>
      </c>
      <c r="C124" s="49" t="s">
        <v>55</v>
      </c>
      <c r="D124" s="19" t="n">
        <v>1236550.375</v>
      </c>
      <c r="E124" s="21" t="n">
        <v>88.32502678</v>
      </c>
      <c r="F124" s="21" t="n">
        <v>0</v>
      </c>
    </row>
    <row r="125" customFormat="false" ht="15" hidden="false" customHeight="false" outlineLevel="0" collapsed="false">
      <c r="A125" s="48" t="n">
        <v>46272</v>
      </c>
      <c r="B125" s="49" t="s">
        <v>108</v>
      </c>
      <c r="C125" s="49" t="s">
        <v>56</v>
      </c>
      <c r="D125" s="19" t="n">
        <v>458118.48665</v>
      </c>
      <c r="E125" s="21" t="n">
        <v>57.26481085</v>
      </c>
      <c r="F125" s="21" t="n">
        <v>0</v>
      </c>
    </row>
    <row r="126" customFormat="false" ht="15" hidden="false" customHeight="false" outlineLevel="0" collapsed="false">
      <c r="A126" s="48" t="n">
        <v>46272</v>
      </c>
      <c r="B126" s="49" t="s">
        <v>108</v>
      </c>
      <c r="C126" s="49" t="s">
        <v>57</v>
      </c>
      <c r="D126" s="19" t="n">
        <v>8146476.67</v>
      </c>
      <c r="E126" s="21" t="n">
        <v>525.57914</v>
      </c>
      <c r="F126" s="21" t="n">
        <v>0</v>
      </c>
    </row>
    <row r="127" customFormat="false" ht="15" hidden="false" customHeight="false" outlineLevel="0" collapsed="false">
      <c r="A127" s="48" t="n">
        <v>46272</v>
      </c>
      <c r="B127" s="49" t="s">
        <v>108</v>
      </c>
      <c r="C127" s="49" t="s">
        <v>58</v>
      </c>
      <c r="D127" s="19" t="n">
        <v>2545102.7035</v>
      </c>
      <c r="E127" s="21" t="n">
        <v>489.4428276</v>
      </c>
      <c r="F127" s="21" t="n">
        <v>0</v>
      </c>
    </row>
    <row r="128" customFormat="false" ht="15" hidden="false" customHeight="false" outlineLevel="0" collapsed="false">
      <c r="A128" s="48" t="n">
        <v>46273</v>
      </c>
      <c r="B128" s="49" t="s">
        <v>26</v>
      </c>
      <c r="C128" s="49" t="s">
        <v>52</v>
      </c>
      <c r="D128" s="19" t="n">
        <v>307278.8762</v>
      </c>
      <c r="E128" s="21" t="n">
        <v>38.40985953</v>
      </c>
      <c r="F128" s="21" t="n">
        <v>3.840985953</v>
      </c>
    </row>
    <row r="129" customFormat="false" ht="15" hidden="false" customHeight="false" outlineLevel="0" collapsed="false">
      <c r="A129" s="48" t="n">
        <v>46273</v>
      </c>
      <c r="B129" s="49" t="s">
        <v>26</v>
      </c>
      <c r="C129" s="49" t="s">
        <v>53</v>
      </c>
      <c r="D129" s="19" t="n">
        <v>42799.485615</v>
      </c>
      <c r="E129" s="21" t="n">
        <v>3.566623801</v>
      </c>
      <c r="F129" s="21" t="n">
        <v>0</v>
      </c>
    </row>
    <row r="130" customFormat="false" ht="15" hidden="false" customHeight="false" outlineLevel="0" collapsed="false">
      <c r="A130" s="48" t="n">
        <v>46273</v>
      </c>
      <c r="B130" s="49" t="s">
        <v>26</v>
      </c>
      <c r="C130" s="49" t="s">
        <v>22</v>
      </c>
      <c r="D130" s="19" t="n">
        <v>760295.7337</v>
      </c>
      <c r="E130" s="21" t="n">
        <v>80.03112986</v>
      </c>
      <c r="F130" s="21" t="n">
        <v>8.447730375</v>
      </c>
    </row>
    <row r="131" customFormat="false" ht="15" hidden="false" customHeight="false" outlineLevel="0" collapsed="false">
      <c r="A131" s="48" t="n">
        <v>46273</v>
      </c>
      <c r="B131" s="49" t="s">
        <v>26</v>
      </c>
      <c r="C131" s="49" t="s">
        <v>55</v>
      </c>
      <c r="D131" s="19" t="n">
        <v>1755879.293</v>
      </c>
      <c r="E131" s="21" t="n">
        <v>117.0586195</v>
      </c>
      <c r="F131" s="21" t="n">
        <v>17.55879293</v>
      </c>
    </row>
    <row r="132" customFormat="false" ht="15" hidden="false" customHeight="false" outlineLevel="0" collapsed="false">
      <c r="A132" s="48" t="n">
        <v>46273</v>
      </c>
      <c r="B132" s="49" t="s">
        <v>26</v>
      </c>
      <c r="C132" s="49" t="s">
        <v>56</v>
      </c>
      <c r="D132" s="19" t="n">
        <v>385195.37055</v>
      </c>
      <c r="E132" s="21" t="n">
        <v>48.149421315</v>
      </c>
      <c r="F132" s="21" t="n">
        <v>0</v>
      </c>
    </row>
    <row r="133" customFormat="false" ht="15" hidden="false" customHeight="false" outlineLevel="0" collapsed="false">
      <c r="A133" s="48" t="n">
        <v>46273</v>
      </c>
      <c r="B133" s="49" t="s">
        <v>26</v>
      </c>
      <c r="C133" s="49" t="s">
        <v>57</v>
      </c>
      <c r="D133" s="19" t="n">
        <v>10535275.76</v>
      </c>
      <c r="E133" s="21" t="n">
        <v>554.4881977</v>
      </c>
      <c r="F133" s="21" t="n">
        <v>162.0811655</v>
      </c>
    </row>
    <row r="134" customFormat="false" ht="15" hidden="false" customHeight="false" outlineLevel="0" collapsed="false">
      <c r="A134" s="48" t="n">
        <v>46273</v>
      </c>
      <c r="B134" s="49" t="s">
        <v>26</v>
      </c>
      <c r="C134" s="49" t="s">
        <v>58</v>
      </c>
      <c r="D134" s="19" t="n">
        <v>2139974.2805</v>
      </c>
      <c r="E134" s="21" t="n">
        <v>411.53351555</v>
      </c>
      <c r="F134" s="21" t="n">
        <v>0</v>
      </c>
    </row>
    <row r="135" customFormat="false" ht="15" hidden="false" customHeight="false" outlineLevel="0" collapsed="false">
      <c r="A135" s="48" t="n">
        <v>46273</v>
      </c>
      <c r="B135" s="49" t="s">
        <v>27</v>
      </c>
      <c r="C135" s="49" t="s">
        <v>53</v>
      </c>
      <c r="D135" s="19" t="n">
        <v>85598.97123</v>
      </c>
      <c r="E135" s="21" t="n">
        <v>7.133247602</v>
      </c>
      <c r="F135" s="21" t="n">
        <v>0</v>
      </c>
    </row>
    <row r="136" customFormat="false" ht="15" hidden="false" customHeight="false" outlineLevel="0" collapsed="false">
      <c r="A136" s="48" t="n">
        <v>46273</v>
      </c>
      <c r="B136" s="49" t="s">
        <v>27</v>
      </c>
      <c r="C136" s="49" t="s">
        <v>56</v>
      </c>
      <c r="D136" s="19" t="n">
        <v>770390.7411</v>
      </c>
      <c r="E136" s="21" t="n">
        <v>96.29884263</v>
      </c>
      <c r="F136" s="21" t="n">
        <v>0</v>
      </c>
    </row>
    <row r="137" customFormat="false" ht="15" hidden="false" customHeight="false" outlineLevel="0" collapsed="false">
      <c r="A137" s="48" t="n">
        <v>46273</v>
      </c>
      <c r="B137" s="49" t="s">
        <v>27</v>
      </c>
      <c r="C137" s="49" t="s">
        <v>58</v>
      </c>
      <c r="D137" s="19" t="n">
        <v>4279948.561</v>
      </c>
      <c r="E137" s="21" t="n">
        <v>823.0670311</v>
      </c>
      <c r="F137" s="21" t="n">
        <v>0</v>
      </c>
    </row>
    <row r="138" customFormat="false" ht="15" hidden="false" customHeight="false" outlineLevel="0" collapsed="false">
      <c r="A138" s="48" t="n">
        <v>46273</v>
      </c>
      <c r="B138" s="49" t="s">
        <v>108</v>
      </c>
      <c r="C138" s="49" t="s">
        <v>52</v>
      </c>
      <c r="D138" s="19" t="n">
        <v>208509.9446</v>
      </c>
      <c r="E138" s="21" t="n">
        <v>29.78713494</v>
      </c>
      <c r="F138" s="21" t="n">
        <v>0</v>
      </c>
    </row>
    <row r="139" customFormat="false" ht="15" hidden="false" customHeight="false" outlineLevel="0" collapsed="false">
      <c r="A139" s="48" t="n">
        <v>46273</v>
      </c>
      <c r="B139" s="49" t="s">
        <v>108</v>
      </c>
      <c r="C139" s="49" t="s">
        <v>53</v>
      </c>
      <c r="D139" s="19" t="n">
        <v>42799.485615</v>
      </c>
      <c r="E139" s="21" t="n">
        <v>3.566623801</v>
      </c>
      <c r="F139" s="21" t="n">
        <v>0</v>
      </c>
    </row>
    <row r="140" customFormat="false" ht="15" hidden="false" customHeight="false" outlineLevel="0" collapsed="false">
      <c r="A140" s="48" t="n">
        <v>46273</v>
      </c>
      <c r="B140" s="49" t="s">
        <v>108</v>
      </c>
      <c r="C140" s="49" t="s">
        <v>54</v>
      </c>
      <c r="D140" s="19" t="n">
        <v>208509.9446</v>
      </c>
      <c r="E140" s="21" t="n">
        <v>28.55127271</v>
      </c>
      <c r="F140" s="21" t="n">
        <v>0</v>
      </c>
    </row>
    <row r="141" customFormat="false" ht="15" hidden="false" customHeight="false" outlineLevel="0" collapsed="false">
      <c r="A141" s="48" t="n">
        <v>46273</v>
      </c>
      <c r="B141" s="49" t="s">
        <v>108</v>
      </c>
      <c r="C141" s="49" t="s">
        <v>22</v>
      </c>
      <c r="D141" s="19" t="n">
        <v>834039.7783</v>
      </c>
      <c r="E141" s="21" t="n">
        <v>115.8388581</v>
      </c>
      <c r="F141" s="21" t="n">
        <v>0</v>
      </c>
    </row>
    <row r="142" customFormat="false" ht="15" hidden="false" customHeight="false" outlineLevel="0" collapsed="false">
      <c r="A142" s="48" t="n">
        <v>46273</v>
      </c>
      <c r="B142" s="49" t="s">
        <v>108</v>
      </c>
      <c r="C142" s="49" t="s">
        <v>55</v>
      </c>
      <c r="D142" s="19" t="n">
        <v>1042549.723</v>
      </c>
      <c r="E142" s="21" t="n">
        <v>74.46783735</v>
      </c>
      <c r="F142" s="21" t="n">
        <v>0</v>
      </c>
    </row>
    <row r="143" customFormat="false" ht="15" hidden="false" customHeight="false" outlineLevel="0" collapsed="false">
      <c r="A143" s="48" t="n">
        <v>46273</v>
      </c>
      <c r="B143" s="49" t="s">
        <v>108</v>
      </c>
      <c r="C143" s="49" t="s">
        <v>56</v>
      </c>
      <c r="D143" s="19" t="n">
        <v>385195.37055</v>
      </c>
      <c r="E143" s="21" t="n">
        <v>48.149421315</v>
      </c>
      <c r="F143" s="21" t="n">
        <v>0</v>
      </c>
    </row>
    <row r="144" customFormat="false" ht="15" hidden="false" customHeight="false" outlineLevel="0" collapsed="false">
      <c r="A144" s="48" t="n">
        <v>46273</v>
      </c>
      <c r="B144" s="49" t="s">
        <v>108</v>
      </c>
      <c r="C144" s="49" t="s">
        <v>57</v>
      </c>
      <c r="D144" s="19" t="n">
        <v>6868387.383</v>
      </c>
      <c r="E144" s="21" t="n">
        <v>443.1217667</v>
      </c>
      <c r="F144" s="21" t="n">
        <v>0</v>
      </c>
    </row>
    <row r="145" customFormat="false" ht="15" hidden="false" customHeight="false" outlineLevel="0" collapsed="false">
      <c r="A145" s="48" t="n">
        <v>46273</v>
      </c>
      <c r="B145" s="49" t="s">
        <v>108</v>
      </c>
      <c r="C145" s="49" t="s">
        <v>58</v>
      </c>
      <c r="D145" s="19" t="n">
        <v>2139974.2805</v>
      </c>
      <c r="E145" s="21" t="n">
        <v>411.53351555</v>
      </c>
      <c r="F145" s="21" t="n">
        <v>0</v>
      </c>
    </row>
    <row r="146" customFormat="false" ht="15" hidden="false" customHeight="false" outlineLevel="0" collapsed="false">
      <c r="A146" s="48" t="n">
        <v>46274</v>
      </c>
      <c r="B146" s="49" t="s">
        <v>26</v>
      </c>
      <c r="C146" s="49" t="s">
        <v>52</v>
      </c>
      <c r="D146" s="19" t="n">
        <v>270331.5163</v>
      </c>
      <c r="E146" s="21" t="n">
        <v>33.79143954</v>
      </c>
      <c r="F146" s="21" t="n">
        <v>3.379143954</v>
      </c>
    </row>
    <row r="147" customFormat="false" ht="15" hidden="false" customHeight="false" outlineLevel="0" collapsed="false">
      <c r="A147" s="48" t="n">
        <v>46274</v>
      </c>
      <c r="B147" s="49" t="s">
        <v>26</v>
      </c>
      <c r="C147" s="49" t="s">
        <v>53</v>
      </c>
      <c r="D147" s="19" t="n">
        <v>39198.53651</v>
      </c>
      <c r="E147" s="21" t="n">
        <v>3.266544709</v>
      </c>
      <c r="F147" s="21" t="n">
        <v>0</v>
      </c>
    </row>
    <row r="148" customFormat="false" ht="15" hidden="false" customHeight="false" outlineLevel="0" collapsed="false">
      <c r="A148" s="48" t="n">
        <v>46274</v>
      </c>
      <c r="B148" s="49" t="s">
        <v>26</v>
      </c>
      <c r="C148" s="49" t="s">
        <v>22</v>
      </c>
      <c r="D148" s="19" t="n">
        <v>668877.409</v>
      </c>
      <c r="E148" s="21" t="n">
        <v>70.40814832</v>
      </c>
      <c r="F148" s="21" t="n">
        <v>7.431971211</v>
      </c>
    </row>
    <row r="149" customFormat="false" ht="15" hidden="false" customHeight="false" outlineLevel="0" collapsed="false">
      <c r="A149" s="48" t="n">
        <v>46274</v>
      </c>
      <c r="B149" s="49" t="s">
        <v>26</v>
      </c>
      <c r="C149" s="49" t="s">
        <v>55</v>
      </c>
      <c r="D149" s="19" t="n">
        <v>1544751.522</v>
      </c>
      <c r="E149" s="21" t="n">
        <v>102.9834348</v>
      </c>
      <c r="F149" s="21" t="n">
        <v>15.44751522</v>
      </c>
    </row>
    <row r="150" customFormat="false" ht="15" hidden="false" customHeight="false" outlineLevel="0" collapsed="false">
      <c r="A150" s="48" t="n">
        <v>46274</v>
      </c>
      <c r="B150" s="49" t="s">
        <v>26</v>
      </c>
      <c r="C150" s="49" t="s">
        <v>56</v>
      </c>
      <c r="D150" s="19" t="n">
        <v>352786.8286</v>
      </c>
      <c r="E150" s="21" t="n">
        <v>44.098353575</v>
      </c>
      <c r="F150" s="21" t="n">
        <v>0</v>
      </c>
    </row>
    <row r="151" customFormat="false" ht="15" hidden="false" customHeight="false" outlineLevel="0" collapsed="false">
      <c r="A151" s="48" t="n">
        <v>46274</v>
      </c>
      <c r="B151" s="49" t="s">
        <v>26</v>
      </c>
      <c r="C151" s="49" t="s">
        <v>57</v>
      </c>
      <c r="D151" s="19" t="n">
        <v>9268509.132</v>
      </c>
      <c r="E151" s="21" t="n">
        <v>487.8162701</v>
      </c>
      <c r="F151" s="21" t="n">
        <v>142.5924482</v>
      </c>
    </row>
    <row r="152" customFormat="false" ht="15" hidden="false" customHeight="false" outlineLevel="0" collapsed="false">
      <c r="A152" s="48" t="n">
        <v>46274</v>
      </c>
      <c r="B152" s="49" t="s">
        <v>26</v>
      </c>
      <c r="C152" s="49" t="s">
        <v>58</v>
      </c>
      <c r="D152" s="19" t="n">
        <v>1959926.8255</v>
      </c>
      <c r="E152" s="21" t="n">
        <v>376.9090049</v>
      </c>
      <c r="F152" s="21" t="n">
        <v>0</v>
      </c>
    </row>
    <row r="153" customFormat="false" ht="15" hidden="false" customHeight="false" outlineLevel="0" collapsed="false">
      <c r="A153" s="48" t="n">
        <v>46274</v>
      </c>
      <c r="B153" s="49" t="s">
        <v>27</v>
      </c>
      <c r="C153" s="49" t="s">
        <v>53</v>
      </c>
      <c r="D153" s="19" t="n">
        <v>78397.07302</v>
      </c>
      <c r="E153" s="21" t="n">
        <v>6.533089418</v>
      </c>
      <c r="F153" s="21" t="n">
        <v>0</v>
      </c>
    </row>
    <row r="154" customFormat="false" ht="15" hidden="false" customHeight="false" outlineLevel="0" collapsed="false">
      <c r="A154" s="48" t="n">
        <v>46274</v>
      </c>
      <c r="B154" s="49" t="s">
        <v>27</v>
      </c>
      <c r="C154" s="49" t="s">
        <v>56</v>
      </c>
      <c r="D154" s="19" t="n">
        <v>705573.6572</v>
      </c>
      <c r="E154" s="21" t="n">
        <v>88.19670715</v>
      </c>
      <c r="F154" s="21" t="n">
        <v>0</v>
      </c>
    </row>
    <row r="155" customFormat="false" ht="15" hidden="false" customHeight="false" outlineLevel="0" collapsed="false">
      <c r="A155" s="48" t="n">
        <v>46274</v>
      </c>
      <c r="B155" s="49" t="s">
        <v>27</v>
      </c>
      <c r="C155" s="49" t="s">
        <v>58</v>
      </c>
      <c r="D155" s="19" t="n">
        <v>3919853.651</v>
      </c>
      <c r="E155" s="21" t="n">
        <v>753.8180098</v>
      </c>
      <c r="F155" s="21" t="n">
        <v>0</v>
      </c>
    </row>
    <row r="156" customFormat="false" ht="15" hidden="false" customHeight="false" outlineLevel="0" collapsed="false">
      <c r="A156" s="48" t="n">
        <v>46274</v>
      </c>
      <c r="B156" s="49" t="s">
        <v>108</v>
      </c>
      <c r="C156" s="49" t="s">
        <v>52</v>
      </c>
      <c r="D156" s="19" t="n">
        <v>198891.4248</v>
      </c>
      <c r="E156" s="21" t="n">
        <v>28.41306069</v>
      </c>
      <c r="F156" s="21" t="n">
        <v>0</v>
      </c>
    </row>
    <row r="157" customFormat="false" ht="15" hidden="false" customHeight="false" outlineLevel="0" collapsed="false">
      <c r="A157" s="48" t="n">
        <v>46274</v>
      </c>
      <c r="B157" s="49" t="s">
        <v>108</v>
      </c>
      <c r="C157" s="49" t="s">
        <v>53</v>
      </c>
      <c r="D157" s="19" t="n">
        <v>39198.53651</v>
      </c>
      <c r="E157" s="21" t="n">
        <v>3.266544709</v>
      </c>
      <c r="F157" s="21" t="n">
        <v>0</v>
      </c>
    </row>
    <row r="158" customFormat="false" ht="15" hidden="false" customHeight="false" outlineLevel="0" collapsed="false">
      <c r="A158" s="48" t="n">
        <v>46274</v>
      </c>
      <c r="B158" s="49" t="s">
        <v>108</v>
      </c>
      <c r="C158" s="49" t="s">
        <v>54</v>
      </c>
      <c r="D158" s="19" t="n">
        <v>198891.4248</v>
      </c>
      <c r="E158" s="21" t="n">
        <v>27.23420852</v>
      </c>
      <c r="F158" s="21" t="n">
        <v>0</v>
      </c>
    </row>
    <row r="159" customFormat="false" ht="15" hidden="false" customHeight="false" outlineLevel="0" collapsed="false">
      <c r="A159" s="48" t="n">
        <v>46274</v>
      </c>
      <c r="B159" s="49" t="s">
        <v>108</v>
      </c>
      <c r="C159" s="49" t="s">
        <v>22</v>
      </c>
      <c r="D159" s="19" t="n">
        <v>795565.6994</v>
      </c>
      <c r="E159" s="21" t="n">
        <v>110.495236</v>
      </c>
      <c r="F159" s="21" t="n">
        <v>0</v>
      </c>
    </row>
    <row r="160" customFormat="false" ht="15" hidden="false" customHeight="false" outlineLevel="0" collapsed="false">
      <c r="A160" s="48" t="n">
        <v>46274</v>
      </c>
      <c r="B160" s="49" t="s">
        <v>108</v>
      </c>
      <c r="C160" s="49" t="s">
        <v>55</v>
      </c>
      <c r="D160" s="19" t="n">
        <v>994457.1242</v>
      </c>
      <c r="E160" s="21" t="n">
        <v>71.03265173</v>
      </c>
      <c r="F160" s="21" t="n">
        <v>0</v>
      </c>
    </row>
    <row r="161" customFormat="false" ht="15" hidden="false" customHeight="false" outlineLevel="0" collapsed="false">
      <c r="A161" s="48" t="n">
        <v>46274</v>
      </c>
      <c r="B161" s="49" t="s">
        <v>108</v>
      </c>
      <c r="C161" s="49" t="s">
        <v>56</v>
      </c>
      <c r="D161" s="19" t="n">
        <v>352786.8286</v>
      </c>
      <c r="E161" s="21" t="n">
        <v>44.098353575</v>
      </c>
      <c r="F161" s="21" t="n">
        <v>0</v>
      </c>
    </row>
    <row r="162" customFormat="false" ht="15" hidden="false" customHeight="false" outlineLevel="0" collapsed="false">
      <c r="A162" s="48" t="n">
        <v>46274</v>
      </c>
      <c r="B162" s="49" t="s">
        <v>108</v>
      </c>
      <c r="C162" s="49" t="s">
        <v>57</v>
      </c>
      <c r="D162" s="19" t="n">
        <v>6551550.123</v>
      </c>
      <c r="E162" s="21" t="n">
        <v>422.6806531</v>
      </c>
      <c r="F162" s="21" t="n">
        <v>0</v>
      </c>
    </row>
    <row r="163" customFormat="false" ht="15" hidden="false" customHeight="false" outlineLevel="0" collapsed="false">
      <c r="A163" s="48" t="n">
        <v>46274</v>
      </c>
      <c r="B163" s="49" t="s">
        <v>108</v>
      </c>
      <c r="C163" s="49" t="s">
        <v>58</v>
      </c>
      <c r="D163" s="19" t="n">
        <v>1959926.8255</v>
      </c>
      <c r="E163" s="21" t="n">
        <v>376.9090049</v>
      </c>
      <c r="F163" s="21" t="n">
        <v>0</v>
      </c>
    </row>
    <row r="164" customFormat="false" ht="15" hidden="false" customHeight="false" outlineLevel="0" collapsed="false">
      <c r="A164" s="48" t="n">
        <v>46275</v>
      </c>
      <c r="B164" s="49" t="s">
        <v>26</v>
      </c>
      <c r="C164" s="49" t="s">
        <v>52</v>
      </c>
      <c r="D164" s="19" t="n">
        <v>266636.7804</v>
      </c>
      <c r="E164" s="21" t="n">
        <v>33.32959754</v>
      </c>
      <c r="F164" s="21" t="n">
        <v>3.332959754</v>
      </c>
    </row>
    <row r="165" customFormat="false" ht="15" hidden="false" customHeight="false" outlineLevel="0" collapsed="false">
      <c r="A165" s="48" t="n">
        <v>46275</v>
      </c>
      <c r="B165" s="49" t="s">
        <v>26</v>
      </c>
      <c r="C165" s="49" t="s">
        <v>53</v>
      </c>
      <c r="D165" s="19" t="n">
        <v>37108.738305</v>
      </c>
      <c r="E165" s="21" t="n">
        <v>3.092394859</v>
      </c>
      <c r="F165" s="21" t="n">
        <v>0</v>
      </c>
    </row>
    <row r="166" customFormat="false" ht="15" hidden="false" customHeight="false" outlineLevel="0" collapsed="false">
      <c r="A166" s="48" t="n">
        <v>46275</v>
      </c>
      <c r="B166" s="49" t="s">
        <v>26</v>
      </c>
      <c r="C166" s="49" t="s">
        <v>22</v>
      </c>
      <c r="D166" s="19" t="n">
        <v>659735.5765</v>
      </c>
      <c r="E166" s="21" t="n">
        <v>69.44585016</v>
      </c>
      <c r="F166" s="21" t="n">
        <v>7.330395295</v>
      </c>
    </row>
    <row r="167" customFormat="false" ht="15" hidden="false" customHeight="false" outlineLevel="0" collapsed="false">
      <c r="A167" s="48" t="n">
        <v>46275</v>
      </c>
      <c r="B167" s="49" t="s">
        <v>26</v>
      </c>
      <c r="C167" s="49" t="s">
        <v>55</v>
      </c>
      <c r="D167" s="19" t="n">
        <v>1523638.745</v>
      </c>
      <c r="E167" s="21" t="n">
        <v>101.5759163</v>
      </c>
      <c r="F167" s="21" t="n">
        <v>15.23638745</v>
      </c>
    </row>
    <row r="168" customFormat="false" ht="15" hidden="false" customHeight="false" outlineLevel="0" collapsed="false">
      <c r="A168" s="48" t="n">
        <v>46275</v>
      </c>
      <c r="B168" s="49" t="s">
        <v>26</v>
      </c>
      <c r="C168" s="49" t="s">
        <v>56</v>
      </c>
      <c r="D168" s="19" t="n">
        <v>333978.64475</v>
      </c>
      <c r="E168" s="21" t="n">
        <v>41.747330595</v>
      </c>
      <c r="F168" s="21" t="n">
        <v>0</v>
      </c>
    </row>
    <row r="169" customFormat="false" ht="15" hidden="false" customHeight="false" outlineLevel="0" collapsed="false">
      <c r="A169" s="48" t="n">
        <v>46275</v>
      </c>
      <c r="B169" s="49" t="s">
        <v>26</v>
      </c>
      <c r="C169" s="49" t="s">
        <v>57</v>
      </c>
      <c r="D169" s="19" t="n">
        <v>9141832.469</v>
      </c>
      <c r="E169" s="21" t="n">
        <v>481.1490773</v>
      </c>
      <c r="F169" s="21" t="n">
        <v>140.6435765</v>
      </c>
    </row>
    <row r="170" customFormat="false" ht="15" hidden="false" customHeight="false" outlineLevel="0" collapsed="false">
      <c r="A170" s="48" t="n">
        <v>46275</v>
      </c>
      <c r="B170" s="49" t="s">
        <v>26</v>
      </c>
      <c r="C170" s="49" t="s">
        <v>58</v>
      </c>
      <c r="D170" s="19" t="n">
        <v>1855436.9155</v>
      </c>
      <c r="E170" s="21" t="n">
        <v>356.8147914</v>
      </c>
      <c r="F170" s="21" t="n">
        <v>0</v>
      </c>
    </row>
    <row r="171" customFormat="false" ht="15" hidden="false" customHeight="false" outlineLevel="0" collapsed="false">
      <c r="A171" s="48" t="n">
        <v>46275</v>
      </c>
      <c r="B171" s="49" t="s">
        <v>27</v>
      </c>
      <c r="C171" s="49" t="s">
        <v>53</v>
      </c>
      <c r="D171" s="19" t="n">
        <v>74217.47661</v>
      </c>
      <c r="E171" s="21" t="n">
        <v>6.184789718</v>
      </c>
      <c r="F171" s="21" t="n">
        <v>0</v>
      </c>
    </row>
    <row r="172" customFormat="false" ht="15" hidden="false" customHeight="false" outlineLevel="0" collapsed="false">
      <c r="A172" s="48" t="n">
        <v>46275</v>
      </c>
      <c r="B172" s="49" t="s">
        <v>27</v>
      </c>
      <c r="C172" s="49" t="s">
        <v>56</v>
      </c>
      <c r="D172" s="19" t="n">
        <v>667957.2895</v>
      </c>
      <c r="E172" s="21" t="n">
        <v>83.49466119</v>
      </c>
      <c r="F172" s="21" t="n">
        <v>0</v>
      </c>
    </row>
    <row r="173" customFormat="false" ht="15" hidden="false" customHeight="false" outlineLevel="0" collapsed="false">
      <c r="A173" s="48" t="n">
        <v>46275</v>
      </c>
      <c r="B173" s="49" t="s">
        <v>27</v>
      </c>
      <c r="C173" s="49" t="s">
        <v>58</v>
      </c>
      <c r="D173" s="19" t="n">
        <v>3710873.831</v>
      </c>
      <c r="E173" s="21" t="n">
        <v>713.6295828</v>
      </c>
      <c r="F173" s="21" t="n">
        <v>0</v>
      </c>
    </row>
    <row r="174" customFormat="false" ht="15" hidden="false" customHeight="false" outlineLevel="0" collapsed="false">
      <c r="A174" s="48" t="n">
        <v>46275</v>
      </c>
      <c r="B174" s="49" t="s">
        <v>108</v>
      </c>
      <c r="C174" s="49" t="s">
        <v>52</v>
      </c>
      <c r="D174" s="19" t="n">
        <v>180632.5399</v>
      </c>
      <c r="E174" s="21" t="n">
        <v>25.80464856</v>
      </c>
      <c r="F174" s="21" t="n">
        <v>0</v>
      </c>
    </row>
    <row r="175" customFormat="false" ht="15" hidden="false" customHeight="false" outlineLevel="0" collapsed="false">
      <c r="A175" s="48" t="n">
        <v>46275</v>
      </c>
      <c r="B175" s="49" t="s">
        <v>108</v>
      </c>
      <c r="C175" s="49" t="s">
        <v>53</v>
      </c>
      <c r="D175" s="19" t="n">
        <v>37108.738305</v>
      </c>
      <c r="E175" s="21" t="n">
        <v>3.092394859</v>
      </c>
      <c r="F175" s="21" t="n">
        <v>0</v>
      </c>
    </row>
    <row r="176" customFormat="false" ht="15" hidden="false" customHeight="false" outlineLevel="0" collapsed="false">
      <c r="A176" s="48" t="n">
        <v>46275</v>
      </c>
      <c r="B176" s="49" t="s">
        <v>108</v>
      </c>
      <c r="C176" s="49" t="s">
        <v>54</v>
      </c>
      <c r="D176" s="19" t="n">
        <v>180632.5399</v>
      </c>
      <c r="E176" s="21" t="n">
        <v>24.73401889</v>
      </c>
      <c r="F176" s="21" t="n">
        <v>0</v>
      </c>
    </row>
    <row r="177" customFormat="false" ht="15" hidden="false" customHeight="false" outlineLevel="0" collapsed="false">
      <c r="A177" s="48" t="n">
        <v>46275</v>
      </c>
      <c r="B177" s="49" t="s">
        <v>108</v>
      </c>
      <c r="C177" s="49" t="s">
        <v>22</v>
      </c>
      <c r="D177" s="19" t="n">
        <v>722530.1598</v>
      </c>
      <c r="E177" s="21" t="n">
        <v>100.3514111</v>
      </c>
      <c r="F177" s="21" t="n">
        <v>0</v>
      </c>
    </row>
    <row r="178" customFormat="false" ht="15" hidden="false" customHeight="false" outlineLevel="0" collapsed="false">
      <c r="A178" s="48" t="n">
        <v>46275</v>
      </c>
      <c r="B178" s="49" t="s">
        <v>108</v>
      </c>
      <c r="C178" s="49" t="s">
        <v>55</v>
      </c>
      <c r="D178" s="19" t="n">
        <v>903162.6997</v>
      </c>
      <c r="E178" s="21" t="n">
        <v>64.51162141</v>
      </c>
      <c r="F178" s="21" t="n">
        <v>0</v>
      </c>
    </row>
    <row r="179" customFormat="false" ht="15" hidden="false" customHeight="false" outlineLevel="0" collapsed="false">
      <c r="A179" s="48" t="n">
        <v>46275</v>
      </c>
      <c r="B179" s="49" t="s">
        <v>108</v>
      </c>
      <c r="C179" s="49" t="s">
        <v>56</v>
      </c>
      <c r="D179" s="19" t="n">
        <v>333978.64475</v>
      </c>
      <c r="E179" s="21" t="n">
        <v>41.747330595</v>
      </c>
      <c r="F179" s="21" t="n">
        <v>0</v>
      </c>
    </row>
    <row r="180" customFormat="false" ht="15" hidden="false" customHeight="false" outlineLevel="0" collapsed="false">
      <c r="A180" s="48" t="n">
        <v>46275</v>
      </c>
      <c r="B180" s="49" t="s">
        <v>108</v>
      </c>
      <c r="C180" s="49" t="s">
        <v>57</v>
      </c>
      <c r="D180" s="19" t="n">
        <v>5950096.341</v>
      </c>
      <c r="E180" s="21" t="n">
        <v>383.8771833</v>
      </c>
      <c r="F180" s="21" t="n">
        <v>0</v>
      </c>
    </row>
    <row r="181" customFormat="false" ht="15" hidden="false" customHeight="false" outlineLevel="0" collapsed="false">
      <c r="A181" s="48" t="n">
        <v>46275</v>
      </c>
      <c r="B181" s="49" t="s">
        <v>108</v>
      </c>
      <c r="C181" s="49" t="s">
        <v>58</v>
      </c>
      <c r="D181" s="19" t="n">
        <v>1855436.9155</v>
      </c>
      <c r="E181" s="21" t="n">
        <v>356.8147914</v>
      </c>
      <c r="F181" s="21" t="n">
        <v>0</v>
      </c>
    </row>
    <row r="182" customFormat="false" ht="15" hidden="false" customHeight="false" outlineLevel="0" collapsed="false">
      <c r="A182" s="48" t="n">
        <v>46276</v>
      </c>
      <c r="B182" s="49" t="s">
        <v>26</v>
      </c>
      <c r="C182" s="49" t="s">
        <v>52</v>
      </c>
      <c r="D182" s="19" t="n">
        <v>243852.5751</v>
      </c>
      <c r="E182" s="21" t="n">
        <v>30.48157189</v>
      </c>
      <c r="F182" s="21" t="n">
        <v>3.048157189</v>
      </c>
    </row>
    <row r="183" customFormat="false" ht="15" hidden="false" customHeight="false" outlineLevel="0" collapsed="false">
      <c r="A183" s="48" t="n">
        <v>46276</v>
      </c>
      <c r="B183" s="49" t="s">
        <v>26</v>
      </c>
      <c r="C183" s="49" t="s">
        <v>53</v>
      </c>
      <c r="D183" s="19" t="n">
        <v>34258.60189</v>
      </c>
      <c r="E183" s="21" t="n">
        <v>2.8548834905</v>
      </c>
      <c r="F183" s="21" t="n">
        <v>0</v>
      </c>
    </row>
    <row r="184" customFormat="false" ht="15" hidden="false" customHeight="false" outlineLevel="0" collapsed="false">
      <c r="A184" s="48" t="n">
        <v>46276</v>
      </c>
      <c r="B184" s="49" t="s">
        <v>26</v>
      </c>
      <c r="C184" s="49" t="s">
        <v>22</v>
      </c>
      <c r="D184" s="19" t="n">
        <v>603360.943</v>
      </c>
      <c r="E184" s="21" t="n">
        <v>63.51167821</v>
      </c>
      <c r="F184" s="21" t="n">
        <v>6.704010478</v>
      </c>
    </row>
    <row r="185" customFormat="false" ht="15" hidden="false" customHeight="false" outlineLevel="0" collapsed="false">
      <c r="A185" s="48" t="n">
        <v>46276</v>
      </c>
      <c r="B185" s="49" t="s">
        <v>26</v>
      </c>
      <c r="C185" s="49" t="s">
        <v>55</v>
      </c>
      <c r="D185" s="19" t="n">
        <v>1393443.286</v>
      </c>
      <c r="E185" s="21" t="n">
        <v>92.89621909</v>
      </c>
      <c r="F185" s="21" t="n">
        <v>13.93443286</v>
      </c>
    </row>
    <row r="186" customFormat="false" ht="15" hidden="false" customHeight="false" outlineLevel="0" collapsed="false">
      <c r="A186" s="48" t="n">
        <v>46276</v>
      </c>
      <c r="B186" s="49" t="s">
        <v>26</v>
      </c>
      <c r="C186" s="49" t="s">
        <v>56</v>
      </c>
      <c r="D186" s="19" t="n">
        <v>308327.417</v>
      </c>
      <c r="E186" s="21" t="n">
        <v>38.540927125</v>
      </c>
      <c r="F186" s="21" t="n">
        <v>0</v>
      </c>
    </row>
    <row r="187" customFormat="false" ht="15" hidden="false" customHeight="false" outlineLevel="0" collapsed="false">
      <c r="A187" s="48" t="n">
        <v>46276</v>
      </c>
      <c r="B187" s="49" t="s">
        <v>26</v>
      </c>
      <c r="C187" s="49" t="s">
        <v>57</v>
      </c>
      <c r="D187" s="19" t="n">
        <v>8360659.718</v>
      </c>
      <c r="E187" s="21" t="n">
        <v>440.034722</v>
      </c>
      <c r="F187" s="21" t="n">
        <v>128.6255341</v>
      </c>
    </row>
    <row r="188" customFormat="false" ht="15" hidden="false" customHeight="false" outlineLevel="0" collapsed="false">
      <c r="A188" s="48" t="n">
        <v>46276</v>
      </c>
      <c r="B188" s="49" t="s">
        <v>26</v>
      </c>
      <c r="C188" s="49" t="s">
        <v>58</v>
      </c>
      <c r="D188" s="19" t="n">
        <v>1712930.0945</v>
      </c>
      <c r="E188" s="21" t="n">
        <v>329.40963355</v>
      </c>
      <c r="F188" s="21" t="n">
        <v>0</v>
      </c>
    </row>
    <row r="189" customFormat="false" ht="15" hidden="false" customHeight="false" outlineLevel="0" collapsed="false">
      <c r="A189" s="48" t="n">
        <v>46276</v>
      </c>
      <c r="B189" s="49" t="s">
        <v>27</v>
      </c>
      <c r="C189" s="49" t="s">
        <v>53</v>
      </c>
      <c r="D189" s="19" t="n">
        <v>68517.20378</v>
      </c>
      <c r="E189" s="21" t="n">
        <v>5.709766981</v>
      </c>
      <c r="F189" s="21" t="n">
        <v>0</v>
      </c>
    </row>
    <row r="190" customFormat="false" ht="15" hidden="false" customHeight="false" outlineLevel="0" collapsed="false">
      <c r="A190" s="48" t="n">
        <v>46276</v>
      </c>
      <c r="B190" s="49" t="s">
        <v>27</v>
      </c>
      <c r="C190" s="49" t="s">
        <v>56</v>
      </c>
      <c r="D190" s="19" t="n">
        <v>616654.834</v>
      </c>
      <c r="E190" s="21" t="n">
        <v>77.08185425</v>
      </c>
      <c r="F190" s="21" t="n">
        <v>0</v>
      </c>
    </row>
    <row r="191" customFormat="false" ht="15" hidden="false" customHeight="false" outlineLevel="0" collapsed="false">
      <c r="A191" s="48" t="n">
        <v>46276</v>
      </c>
      <c r="B191" s="49" t="s">
        <v>27</v>
      </c>
      <c r="C191" s="49" t="s">
        <v>58</v>
      </c>
      <c r="D191" s="19" t="n">
        <v>3425860.189</v>
      </c>
      <c r="E191" s="21" t="n">
        <v>658.8192671</v>
      </c>
      <c r="F191" s="21" t="n">
        <v>0</v>
      </c>
    </row>
    <row r="192" customFormat="false" ht="15" hidden="false" customHeight="false" outlineLevel="0" collapsed="false">
      <c r="A192" s="48" t="n">
        <v>46276</v>
      </c>
      <c r="B192" s="49" t="s">
        <v>108</v>
      </c>
      <c r="C192" s="49" t="s">
        <v>52</v>
      </c>
      <c r="D192" s="19" t="n">
        <v>168405.6081</v>
      </c>
      <c r="E192" s="21" t="n">
        <v>24.05794401</v>
      </c>
      <c r="F192" s="21" t="n">
        <v>0</v>
      </c>
    </row>
    <row r="193" customFormat="false" ht="15" hidden="false" customHeight="false" outlineLevel="0" collapsed="false">
      <c r="A193" s="48" t="n">
        <v>46276</v>
      </c>
      <c r="B193" s="49" t="s">
        <v>108</v>
      </c>
      <c r="C193" s="49" t="s">
        <v>53</v>
      </c>
      <c r="D193" s="19" t="n">
        <v>34258.60189</v>
      </c>
      <c r="E193" s="21" t="n">
        <v>2.8548834905</v>
      </c>
      <c r="F193" s="21" t="n">
        <v>0</v>
      </c>
    </row>
    <row r="194" customFormat="false" ht="15" hidden="false" customHeight="false" outlineLevel="0" collapsed="false">
      <c r="A194" s="48" t="n">
        <v>46276</v>
      </c>
      <c r="B194" s="49" t="s">
        <v>108</v>
      </c>
      <c r="C194" s="49" t="s">
        <v>54</v>
      </c>
      <c r="D194" s="19" t="n">
        <v>168405.6081</v>
      </c>
      <c r="E194" s="21" t="n">
        <v>23.05978476</v>
      </c>
      <c r="F194" s="21" t="n">
        <v>0</v>
      </c>
    </row>
    <row r="195" customFormat="false" ht="15" hidden="false" customHeight="false" outlineLevel="0" collapsed="false">
      <c r="A195" s="48" t="n">
        <v>46276</v>
      </c>
      <c r="B195" s="49" t="s">
        <v>108</v>
      </c>
      <c r="C195" s="49" t="s">
        <v>22</v>
      </c>
      <c r="D195" s="19" t="n">
        <v>673622.4323</v>
      </c>
      <c r="E195" s="21" t="n">
        <v>93.55867116</v>
      </c>
      <c r="F195" s="21" t="n">
        <v>0</v>
      </c>
    </row>
    <row r="196" customFormat="false" ht="15" hidden="false" customHeight="false" outlineLevel="0" collapsed="false">
      <c r="A196" s="48" t="n">
        <v>46276</v>
      </c>
      <c r="B196" s="49" t="s">
        <v>108</v>
      </c>
      <c r="C196" s="49" t="s">
        <v>55</v>
      </c>
      <c r="D196" s="19" t="n">
        <v>842028.0404</v>
      </c>
      <c r="E196" s="21" t="n">
        <v>60.14486003</v>
      </c>
      <c r="F196" s="21" t="n">
        <v>0</v>
      </c>
    </row>
    <row r="197" customFormat="false" ht="15" hidden="false" customHeight="false" outlineLevel="0" collapsed="false">
      <c r="A197" s="48" t="n">
        <v>46276</v>
      </c>
      <c r="B197" s="49" t="s">
        <v>108</v>
      </c>
      <c r="C197" s="49" t="s">
        <v>56</v>
      </c>
      <c r="D197" s="19" t="n">
        <v>308327.417</v>
      </c>
      <c r="E197" s="21" t="n">
        <v>38.540927125</v>
      </c>
      <c r="F197" s="21" t="n">
        <v>0</v>
      </c>
    </row>
    <row r="198" customFormat="false" ht="15" hidden="false" customHeight="false" outlineLevel="0" collapsed="false">
      <c r="A198" s="48" t="n">
        <v>46276</v>
      </c>
      <c r="B198" s="49" t="s">
        <v>108</v>
      </c>
      <c r="C198" s="49" t="s">
        <v>57</v>
      </c>
      <c r="D198" s="19" t="n">
        <v>5547337.113</v>
      </c>
      <c r="E198" s="21" t="n">
        <v>357.8927169</v>
      </c>
      <c r="F198" s="21" t="n">
        <v>0</v>
      </c>
    </row>
    <row r="199" customFormat="false" ht="15" hidden="false" customHeight="false" outlineLevel="0" collapsed="false">
      <c r="A199" s="48" t="n">
        <v>46276</v>
      </c>
      <c r="B199" s="49" t="s">
        <v>108</v>
      </c>
      <c r="C199" s="49" t="s">
        <v>58</v>
      </c>
      <c r="D199" s="19" t="n">
        <v>1712930.0945</v>
      </c>
      <c r="E199" s="21" t="n">
        <v>329.40963355</v>
      </c>
      <c r="F199" s="21" t="n">
        <v>0</v>
      </c>
    </row>
    <row r="200" customFormat="false" ht="15" hidden="false" customHeight="false" outlineLevel="0" collapsed="false">
      <c r="A200" s="48" t="n">
        <v>46277</v>
      </c>
      <c r="B200" s="49" t="s">
        <v>26</v>
      </c>
      <c r="C200" s="49" t="s">
        <v>52</v>
      </c>
      <c r="D200" s="19" t="n">
        <v>171189.434</v>
      </c>
      <c r="E200" s="21" t="n">
        <v>21.39867926</v>
      </c>
      <c r="F200" s="21" t="n">
        <v>2.139867926</v>
      </c>
    </row>
    <row r="201" customFormat="false" ht="15" hidden="false" customHeight="false" outlineLevel="0" collapsed="false">
      <c r="A201" s="48" t="n">
        <v>46277</v>
      </c>
      <c r="B201" s="49" t="s">
        <v>26</v>
      </c>
      <c r="C201" s="49" t="s">
        <v>53</v>
      </c>
      <c r="D201" s="19" t="n">
        <v>23476.594025</v>
      </c>
      <c r="E201" s="21" t="n">
        <v>1.9563828355</v>
      </c>
      <c r="F201" s="21" t="n">
        <v>0</v>
      </c>
    </row>
    <row r="202" customFormat="false" ht="15" hidden="false" customHeight="false" outlineLevel="0" collapsed="false">
      <c r="A202" s="48" t="n">
        <v>46277</v>
      </c>
      <c r="B202" s="49" t="s">
        <v>26</v>
      </c>
      <c r="C202" s="49" t="s">
        <v>22</v>
      </c>
      <c r="D202" s="19" t="n">
        <v>423571.5711</v>
      </c>
      <c r="E202" s="21" t="n">
        <v>44.58648117</v>
      </c>
      <c r="F202" s="21" t="n">
        <v>4.70635079</v>
      </c>
    </row>
    <row r="203" customFormat="false" ht="15" hidden="false" customHeight="false" outlineLevel="0" collapsed="false">
      <c r="A203" s="48" t="n">
        <v>46277</v>
      </c>
      <c r="B203" s="49" t="s">
        <v>26</v>
      </c>
      <c r="C203" s="49" t="s">
        <v>55</v>
      </c>
      <c r="D203" s="19" t="n">
        <v>978225.3374</v>
      </c>
      <c r="E203" s="21" t="n">
        <v>65.21502249</v>
      </c>
      <c r="F203" s="21" t="n">
        <v>9.782253374</v>
      </c>
    </row>
    <row r="204" customFormat="false" ht="15" hidden="false" customHeight="false" outlineLevel="0" collapsed="false">
      <c r="A204" s="48" t="n">
        <v>46277</v>
      </c>
      <c r="B204" s="49" t="s">
        <v>26</v>
      </c>
      <c r="C204" s="49" t="s">
        <v>56</v>
      </c>
      <c r="D204" s="19" t="n">
        <v>211289.3462</v>
      </c>
      <c r="E204" s="21" t="n">
        <v>26.411168275</v>
      </c>
      <c r="F204" s="21" t="n">
        <v>0</v>
      </c>
    </row>
    <row r="205" customFormat="false" ht="15" hidden="false" customHeight="false" outlineLevel="0" collapsed="false">
      <c r="A205" s="48" t="n">
        <v>46277</v>
      </c>
      <c r="B205" s="49" t="s">
        <v>26</v>
      </c>
      <c r="C205" s="49" t="s">
        <v>57</v>
      </c>
      <c r="D205" s="19" t="n">
        <v>5869352.024</v>
      </c>
      <c r="E205" s="21" t="n">
        <v>308.9132644</v>
      </c>
      <c r="F205" s="21" t="n">
        <v>90.29772345</v>
      </c>
    </row>
    <row r="206" customFormat="false" ht="15" hidden="false" customHeight="false" outlineLevel="0" collapsed="false">
      <c r="A206" s="48" t="n">
        <v>46277</v>
      </c>
      <c r="B206" s="49" t="s">
        <v>26</v>
      </c>
      <c r="C206" s="49" t="s">
        <v>58</v>
      </c>
      <c r="D206" s="19" t="n">
        <v>1173829.701</v>
      </c>
      <c r="E206" s="21" t="n">
        <v>225.736481</v>
      </c>
      <c r="F206" s="21" t="n">
        <v>0</v>
      </c>
    </row>
    <row r="207" customFormat="false" ht="15" hidden="false" customHeight="false" outlineLevel="0" collapsed="false">
      <c r="A207" s="48" t="n">
        <v>46277</v>
      </c>
      <c r="B207" s="49" t="s">
        <v>27</v>
      </c>
      <c r="C207" s="49" t="s">
        <v>53</v>
      </c>
      <c r="D207" s="19" t="n">
        <v>46953.18805</v>
      </c>
      <c r="E207" s="21" t="n">
        <v>3.912765671</v>
      </c>
      <c r="F207" s="21" t="n">
        <v>0</v>
      </c>
    </row>
    <row r="208" customFormat="false" ht="15" hidden="false" customHeight="false" outlineLevel="0" collapsed="false">
      <c r="A208" s="48" t="n">
        <v>46277</v>
      </c>
      <c r="B208" s="49" t="s">
        <v>27</v>
      </c>
      <c r="C208" s="49" t="s">
        <v>56</v>
      </c>
      <c r="D208" s="19" t="n">
        <v>422578.6924</v>
      </c>
      <c r="E208" s="21" t="n">
        <v>52.82233655</v>
      </c>
      <c r="F208" s="21" t="n">
        <v>0</v>
      </c>
    </row>
    <row r="209" customFormat="false" ht="15" hidden="false" customHeight="false" outlineLevel="0" collapsed="false">
      <c r="A209" s="48" t="n">
        <v>46277</v>
      </c>
      <c r="B209" s="49" t="s">
        <v>27</v>
      </c>
      <c r="C209" s="49" t="s">
        <v>58</v>
      </c>
      <c r="D209" s="19" t="n">
        <v>2347659.402</v>
      </c>
      <c r="E209" s="21" t="n">
        <v>451.472962</v>
      </c>
      <c r="F209" s="21" t="n">
        <v>0</v>
      </c>
    </row>
    <row r="210" customFormat="false" ht="15" hidden="false" customHeight="false" outlineLevel="0" collapsed="false">
      <c r="A210" s="48" t="n">
        <v>46277</v>
      </c>
      <c r="B210" s="49" t="s">
        <v>108</v>
      </c>
      <c r="C210" s="49" t="s">
        <v>52</v>
      </c>
      <c r="D210" s="19" t="n">
        <v>112487.7731</v>
      </c>
      <c r="E210" s="21" t="n">
        <v>16.06968187</v>
      </c>
      <c r="F210" s="21" t="n">
        <v>0</v>
      </c>
    </row>
    <row r="211" customFormat="false" ht="15" hidden="false" customHeight="false" outlineLevel="0" collapsed="false">
      <c r="A211" s="48" t="n">
        <v>46277</v>
      </c>
      <c r="B211" s="49" t="s">
        <v>108</v>
      </c>
      <c r="C211" s="49" t="s">
        <v>53</v>
      </c>
      <c r="D211" s="19" t="n">
        <v>23476.594025</v>
      </c>
      <c r="E211" s="21" t="n">
        <v>1.9563828355</v>
      </c>
      <c r="F211" s="21" t="n">
        <v>0</v>
      </c>
    </row>
    <row r="212" customFormat="false" ht="15" hidden="false" customHeight="false" outlineLevel="0" collapsed="false">
      <c r="A212" s="48" t="n">
        <v>46277</v>
      </c>
      <c r="B212" s="49" t="s">
        <v>108</v>
      </c>
      <c r="C212" s="49" t="s">
        <v>54</v>
      </c>
      <c r="D212" s="19" t="n">
        <v>112487.7731</v>
      </c>
      <c r="E212" s="21" t="n">
        <v>15.402954</v>
      </c>
      <c r="F212" s="21" t="n">
        <v>0</v>
      </c>
    </row>
    <row r="213" customFormat="false" ht="15" hidden="false" customHeight="false" outlineLevel="0" collapsed="false">
      <c r="A213" s="48" t="n">
        <v>46277</v>
      </c>
      <c r="B213" s="49" t="s">
        <v>108</v>
      </c>
      <c r="C213" s="49" t="s">
        <v>22</v>
      </c>
      <c r="D213" s="19" t="n">
        <v>449951.0923</v>
      </c>
      <c r="E213" s="21" t="n">
        <v>62.49320726</v>
      </c>
      <c r="F213" s="21" t="n">
        <v>0</v>
      </c>
    </row>
    <row r="214" customFormat="false" ht="15" hidden="false" customHeight="false" outlineLevel="0" collapsed="false">
      <c r="A214" s="48" t="n">
        <v>46277</v>
      </c>
      <c r="B214" s="49" t="s">
        <v>108</v>
      </c>
      <c r="C214" s="49" t="s">
        <v>55</v>
      </c>
      <c r="D214" s="19" t="n">
        <v>562438.8653</v>
      </c>
      <c r="E214" s="21" t="n">
        <v>40.17420467</v>
      </c>
      <c r="F214" s="21" t="n">
        <v>0</v>
      </c>
    </row>
    <row r="215" customFormat="false" ht="15" hidden="false" customHeight="false" outlineLevel="0" collapsed="false">
      <c r="A215" s="48" t="n">
        <v>46277</v>
      </c>
      <c r="B215" s="49" t="s">
        <v>108</v>
      </c>
      <c r="C215" s="49" t="s">
        <v>56</v>
      </c>
      <c r="D215" s="19" t="n">
        <v>211289.3462</v>
      </c>
      <c r="E215" s="21" t="n">
        <v>26.411168275</v>
      </c>
      <c r="F215" s="21" t="n">
        <v>0</v>
      </c>
    </row>
    <row r="216" customFormat="false" ht="15" hidden="false" customHeight="false" outlineLevel="0" collapsed="false">
      <c r="A216" s="48" t="n">
        <v>46277</v>
      </c>
      <c r="B216" s="49" t="s">
        <v>108</v>
      </c>
      <c r="C216" s="49" t="s">
        <v>57</v>
      </c>
      <c r="D216" s="19" t="n">
        <v>3705384.906</v>
      </c>
      <c r="E216" s="21" t="n">
        <v>239.0570907</v>
      </c>
      <c r="F216" s="21" t="n">
        <v>0</v>
      </c>
    </row>
    <row r="217" customFormat="false" ht="15" hidden="false" customHeight="false" outlineLevel="0" collapsed="false">
      <c r="A217" s="48" t="n">
        <v>46277</v>
      </c>
      <c r="B217" s="49" t="s">
        <v>108</v>
      </c>
      <c r="C217" s="49" t="s">
        <v>58</v>
      </c>
      <c r="D217" s="19" t="n">
        <v>1173829.701</v>
      </c>
      <c r="E217" s="21" t="n">
        <v>225.736481</v>
      </c>
      <c r="F217" s="21" t="n">
        <v>0</v>
      </c>
    </row>
    <row r="218" customFormat="false" ht="15" hidden="false" customHeight="false" outlineLevel="0" collapsed="false">
      <c r="A218" s="48" t="n">
        <v>46278</v>
      </c>
      <c r="B218" s="49" t="s">
        <v>26</v>
      </c>
      <c r="C218" s="49" t="s">
        <v>52</v>
      </c>
      <c r="D218" s="19" t="n">
        <v>154255.2274</v>
      </c>
      <c r="E218" s="21" t="n">
        <v>19.28190343</v>
      </c>
      <c r="F218" s="21" t="n">
        <v>1.928190343</v>
      </c>
    </row>
    <row r="219" customFormat="false" ht="15" hidden="false" customHeight="false" outlineLevel="0" collapsed="false">
      <c r="A219" s="48" t="n">
        <v>46278</v>
      </c>
      <c r="B219" s="49" t="s">
        <v>26</v>
      </c>
      <c r="C219" s="49" t="s">
        <v>53</v>
      </c>
      <c r="D219" s="19" t="n">
        <v>22267.00784</v>
      </c>
      <c r="E219" s="21" t="n">
        <v>1.8555839865</v>
      </c>
      <c r="F219" s="21" t="n">
        <v>0</v>
      </c>
    </row>
    <row r="220" customFormat="false" ht="15" hidden="false" customHeight="false" outlineLevel="0" collapsed="false">
      <c r="A220" s="48" t="n">
        <v>46278</v>
      </c>
      <c r="B220" s="49" t="s">
        <v>26</v>
      </c>
      <c r="C220" s="49" t="s">
        <v>22</v>
      </c>
      <c r="D220" s="19" t="n">
        <v>381671.5056</v>
      </c>
      <c r="E220" s="21" t="n">
        <v>40.17594796</v>
      </c>
      <c r="F220" s="21" t="n">
        <v>4.240794507</v>
      </c>
    </row>
    <row r="221" customFormat="false" ht="15" hidden="false" customHeight="false" outlineLevel="0" collapsed="false">
      <c r="A221" s="48" t="n">
        <v>46278</v>
      </c>
      <c r="B221" s="49" t="s">
        <v>26</v>
      </c>
      <c r="C221" s="49" t="s">
        <v>55</v>
      </c>
      <c r="D221" s="19" t="n">
        <v>881458.4425</v>
      </c>
      <c r="E221" s="21" t="n">
        <v>58.76389617</v>
      </c>
      <c r="F221" s="21" t="n">
        <v>8.814584425</v>
      </c>
    </row>
    <row r="222" customFormat="false" ht="15" hidden="false" customHeight="false" outlineLevel="0" collapsed="false">
      <c r="A222" s="48" t="n">
        <v>46278</v>
      </c>
      <c r="B222" s="49" t="s">
        <v>26</v>
      </c>
      <c r="C222" s="49" t="s">
        <v>56</v>
      </c>
      <c r="D222" s="19" t="n">
        <v>200403.07055</v>
      </c>
      <c r="E222" s="21" t="n">
        <v>25.05038382</v>
      </c>
      <c r="F222" s="21" t="n">
        <v>0</v>
      </c>
    </row>
    <row r="223" customFormat="false" ht="15" hidden="false" customHeight="false" outlineLevel="0" collapsed="false">
      <c r="A223" s="48" t="n">
        <v>46278</v>
      </c>
      <c r="B223" s="49" t="s">
        <v>26</v>
      </c>
      <c r="C223" s="49" t="s">
        <v>57</v>
      </c>
      <c r="D223" s="19" t="n">
        <v>5288750.655</v>
      </c>
      <c r="E223" s="21" t="n">
        <v>278.3552976</v>
      </c>
      <c r="F223" s="21" t="n">
        <v>81.36539469</v>
      </c>
    </row>
    <row r="224" customFormat="false" ht="15" hidden="false" customHeight="false" outlineLevel="0" collapsed="false">
      <c r="A224" s="48" t="n">
        <v>46278</v>
      </c>
      <c r="B224" s="49" t="s">
        <v>26</v>
      </c>
      <c r="C224" s="49" t="s">
        <v>58</v>
      </c>
      <c r="D224" s="19" t="n">
        <v>1113350.392</v>
      </c>
      <c r="E224" s="21" t="n">
        <v>214.1058446</v>
      </c>
      <c r="F224" s="21" t="n">
        <v>0</v>
      </c>
    </row>
    <row r="225" customFormat="false" ht="15" hidden="false" customHeight="false" outlineLevel="0" collapsed="false">
      <c r="A225" s="48" t="n">
        <v>46278</v>
      </c>
      <c r="B225" s="49" t="s">
        <v>27</v>
      </c>
      <c r="C225" s="49" t="s">
        <v>53</v>
      </c>
      <c r="D225" s="19" t="n">
        <v>44534.01568</v>
      </c>
      <c r="E225" s="21" t="n">
        <v>3.711167973</v>
      </c>
      <c r="F225" s="21" t="n">
        <v>0</v>
      </c>
    </row>
    <row r="226" customFormat="false" ht="15" hidden="false" customHeight="false" outlineLevel="0" collapsed="false">
      <c r="A226" s="48" t="n">
        <v>46278</v>
      </c>
      <c r="B226" s="49" t="s">
        <v>27</v>
      </c>
      <c r="C226" s="49" t="s">
        <v>56</v>
      </c>
      <c r="D226" s="19" t="n">
        <v>400806.1411</v>
      </c>
      <c r="E226" s="21" t="n">
        <v>50.10076764</v>
      </c>
      <c r="F226" s="21" t="n">
        <v>0</v>
      </c>
    </row>
    <row r="227" customFormat="false" ht="15" hidden="false" customHeight="false" outlineLevel="0" collapsed="false">
      <c r="A227" s="48" t="n">
        <v>46278</v>
      </c>
      <c r="B227" s="49" t="s">
        <v>27</v>
      </c>
      <c r="C227" s="49" t="s">
        <v>58</v>
      </c>
      <c r="D227" s="19" t="n">
        <v>2226700.784</v>
      </c>
      <c r="E227" s="21" t="n">
        <v>428.2116892</v>
      </c>
      <c r="F227" s="21" t="n">
        <v>0</v>
      </c>
    </row>
    <row r="228" customFormat="false" ht="15" hidden="false" customHeight="false" outlineLevel="0" collapsed="false">
      <c r="A228" s="48" t="n">
        <v>46278</v>
      </c>
      <c r="B228" s="49" t="s">
        <v>108</v>
      </c>
      <c r="C228" s="49" t="s">
        <v>52</v>
      </c>
      <c r="D228" s="19" t="n">
        <v>112487.7731</v>
      </c>
      <c r="E228" s="21" t="n">
        <v>16.06968187</v>
      </c>
      <c r="F228" s="21" t="n">
        <v>0</v>
      </c>
    </row>
    <row r="229" customFormat="false" ht="15" hidden="false" customHeight="false" outlineLevel="0" collapsed="false">
      <c r="A229" s="48" t="n">
        <v>46278</v>
      </c>
      <c r="B229" s="49" t="s">
        <v>108</v>
      </c>
      <c r="C229" s="49" t="s">
        <v>53</v>
      </c>
      <c r="D229" s="19" t="n">
        <v>22267.00784</v>
      </c>
      <c r="E229" s="21" t="n">
        <v>1.8555839865</v>
      </c>
      <c r="F229" s="21" t="n">
        <v>0</v>
      </c>
    </row>
    <row r="230" customFormat="false" ht="15" hidden="false" customHeight="false" outlineLevel="0" collapsed="false">
      <c r="A230" s="48" t="n">
        <v>46278</v>
      </c>
      <c r="B230" s="49" t="s">
        <v>108</v>
      </c>
      <c r="C230" s="49" t="s">
        <v>54</v>
      </c>
      <c r="D230" s="19" t="n">
        <v>112487.7731</v>
      </c>
      <c r="E230" s="21" t="n">
        <v>15.402954</v>
      </c>
      <c r="F230" s="21" t="n">
        <v>0</v>
      </c>
    </row>
    <row r="231" customFormat="false" ht="15" hidden="false" customHeight="false" outlineLevel="0" collapsed="false">
      <c r="A231" s="48" t="n">
        <v>46278</v>
      </c>
      <c r="B231" s="49" t="s">
        <v>108</v>
      </c>
      <c r="C231" s="49" t="s">
        <v>22</v>
      </c>
      <c r="D231" s="19" t="n">
        <v>449951.0923</v>
      </c>
      <c r="E231" s="21" t="n">
        <v>62.49320726</v>
      </c>
      <c r="F231" s="21" t="n">
        <v>0</v>
      </c>
    </row>
    <row r="232" customFormat="false" ht="15" hidden="false" customHeight="false" outlineLevel="0" collapsed="false">
      <c r="A232" s="48" t="n">
        <v>46278</v>
      </c>
      <c r="B232" s="49" t="s">
        <v>108</v>
      </c>
      <c r="C232" s="49" t="s">
        <v>55</v>
      </c>
      <c r="D232" s="19" t="n">
        <v>562438.8653</v>
      </c>
      <c r="E232" s="21" t="n">
        <v>40.17420467</v>
      </c>
      <c r="F232" s="21" t="n">
        <v>0</v>
      </c>
    </row>
    <row r="233" customFormat="false" ht="15" hidden="false" customHeight="false" outlineLevel="0" collapsed="false">
      <c r="A233" s="48" t="n">
        <v>46278</v>
      </c>
      <c r="B233" s="49" t="s">
        <v>108</v>
      </c>
      <c r="C233" s="49" t="s">
        <v>56</v>
      </c>
      <c r="D233" s="19" t="n">
        <v>200403.07055</v>
      </c>
      <c r="E233" s="21" t="n">
        <v>25.05038382</v>
      </c>
      <c r="F233" s="21" t="n">
        <v>0</v>
      </c>
    </row>
    <row r="234" customFormat="false" ht="15" hidden="false" customHeight="false" outlineLevel="0" collapsed="false">
      <c r="A234" s="48" t="n">
        <v>46278</v>
      </c>
      <c r="B234" s="49" t="s">
        <v>108</v>
      </c>
      <c r="C234" s="49" t="s">
        <v>57</v>
      </c>
      <c r="D234" s="19" t="n">
        <v>3705384.906</v>
      </c>
      <c r="E234" s="21" t="n">
        <v>239.0570907</v>
      </c>
      <c r="F234" s="21" t="n">
        <v>0</v>
      </c>
    </row>
    <row r="235" customFormat="false" ht="15" hidden="false" customHeight="false" outlineLevel="0" collapsed="false">
      <c r="A235" s="48" t="n">
        <v>46278</v>
      </c>
      <c r="B235" s="49" t="s">
        <v>108</v>
      </c>
      <c r="C235" s="49" t="s">
        <v>58</v>
      </c>
      <c r="D235" s="19" t="n">
        <v>1113350.392</v>
      </c>
      <c r="E235" s="21" t="n">
        <v>214.1058446</v>
      </c>
      <c r="F235" s="21" t="n">
        <v>0</v>
      </c>
    </row>
    <row r="236" customFormat="false" ht="15" hidden="false" customHeight="false" outlineLevel="0" collapsed="false">
      <c r="A236" s="48" t="n">
        <v>46279</v>
      </c>
      <c r="B236" s="49" t="s">
        <v>26</v>
      </c>
      <c r="C236" s="49" t="s">
        <v>52</v>
      </c>
      <c r="D236" s="19" t="n">
        <v>333142.0281</v>
      </c>
      <c r="E236" s="21" t="n">
        <v>41.64275351</v>
      </c>
      <c r="F236" s="21" t="n">
        <v>4.164275351</v>
      </c>
    </row>
    <row r="237" customFormat="false" ht="15" hidden="false" customHeight="false" outlineLevel="0" collapsed="false">
      <c r="A237" s="48" t="n">
        <v>46279</v>
      </c>
      <c r="B237" s="49" t="s">
        <v>26</v>
      </c>
      <c r="C237" s="49" t="s">
        <v>53</v>
      </c>
      <c r="D237" s="19" t="n">
        <v>47711.73786</v>
      </c>
      <c r="E237" s="21" t="n">
        <v>3.975978155</v>
      </c>
      <c r="F237" s="21" t="n">
        <v>0</v>
      </c>
    </row>
    <row r="238" customFormat="false" ht="15" hidden="false" customHeight="false" outlineLevel="0" collapsed="false">
      <c r="A238" s="48" t="n">
        <v>46279</v>
      </c>
      <c r="B238" s="49" t="s">
        <v>26</v>
      </c>
      <c r="C238" s="49" t="s">
        <v>22</v>
      </c>
      <c r="D238" s="19" t="n">
        <v>824288.561</v>
      </c>
      <c r="E238" s="21" t="n">
        <v>86.76721695</v>
      </c>
      <c r="F238" s="21" t="n">
        <v>9.158761789</v>
      </c>
    </row>
    <row r="239" customFormat="false" ht="15" hidden="false" customHeight="false" outlineLevel="0" collapsed="false">
      <c r="A239" s="48" t="n">
        <v>46279</v>
      </c>
      <c r="B239" s="49" t="s">
        <v>26</v>
      </c>
      <c r="C239" s="49" t="s">
        <v>55</v>
      </c>
      <c r="D239" s="19" t="n">
        <v>1903668.732</v>
      </c>
      <c r="E239" s="21" t="n">
        <v>126.9112488</v>
      </c>
      <c r="F239" s="21" t="n">
        <v>19.03668732</v>
      </c>
    </row>
    <row r="240" customFormat="false" ht="15" hidden="false" customHeight="false" outlineLevel="0" collapsed="false">
      <c r="A240" s="48" t="n">
        <v>46279</v>
      </c>
      <c r="B240" s="49" t="s">
        <v>26</v>
      </c>
      <c r="C240" s="49" t="s">
        <v>56</v>
      </c>
      <c r="D240" s="19" t="n">
        <v>429405.64075</v>
      </c>
      <c r="E240" s="21" t="n">
        <v>53.6757051</v>
      </c>
      <c r="F240" s="21" t="n">
        <v>0</v>
      </c>
    </row>
    <row r="241" customFormat="false" ht="15" hidden="false" customHeight="false" outlineLevel="0" collapsed="false">
      <c r="A241" s="48" t="n">
        <v>46279</v>
      </c>
      <c r="B241" s="49" t="s">
        <v>26</v>
      </c>
      <c r="C241" s="49" t="s">
        <v>57</v>
      </c>
      <c r="D241" s="19" t="n">
        <v>11422012.39</v>
      </c>
      <c r="E241" s="21" t="n">
        <v>601.158547</v>
      </c>
      <c r="F241" s="21" t="n">
        <v>175.7232676</v>
      </c>
    </row>
    <row r="242" customFormat="false" ht="15" hidden="false" customHeight="false" outlineLevel="0" collapsed="false">
      <c r="A242" s="48" t="n">
        <v>46279</v>
      </c>
      <c r="B242" s="49" t="s">
        <v>26</v>
      </c>
      <c r="C242" s="49" t="s">
        <v>58</v>
      </c>
      <c r="D242" s="19" t="n">
        <v>2385586.893</v>
      </c>
      <c r="E242" s="21" t="n">
        <v>458.7667102</v>
      </c>
      <c r="F242" s="21" t="n">
        <v>0</v>
      </c>
    </row>
    <row r="243" customFormat="false" ht="15" hidden="false" customHeight="false" outlineLevel="0" collapsed="false">
      <c r="A243" s="48" t="n">
        <v>46279</v>
      </c>
      <c r="B243" s="49" t="s">
        <v>27</v>
      </c>
      <c r="C243" s="49" t="s">
        <v>53</v>
      </c>
      <c r="D243" s="19" t="n">
        <v>95423.47572</v>
      </c>
      <c r="E243" s="21" t="n">
        <v>7.95195631</v>
      </c>
      <c r="F243" s="21" t="n">
        <v>0</v>
      </c>
    </row>
    <row r="244" customFormat="false" ht="15" hidden="false" customHeight="false" outlineLevel="0" collapsed="false">
      <c r="A244" s="48" t="n">
        <v>46279</v>
      </c>
      <c r="B244" s="49" t="s">
        <v>27</v>
      </c>
      <c r="C244" s="49" t="s">
        <v>56</v>
      </c>
      <c r="D244" s="19" t="n">
        <v>858811.2815</v>
      </c>
      <c r="E244" s="21" t="n">
        <v>107.3514102</v>
      </c>
      <c r="F244" s="21" t="n">
        <v>0</v>
      </c>
    </row>
    <row r="245" customFormat="false" ht="15" hidden="false" customHeight="false" outlineLevel="0" collapsed="false">
      <c r="A245" s="48" t="n">
        <v>46279</v>
      </c>
      <c r="B245" s="49" t="s">
        <v>27</v>
      </c>
      <c r="C245" s="49" t="s">
        <v>58</v>
      </c>
      <c r="D245" s="19" t="n">
        <v>4771173.786</v>
      </c>
      <c r="E245" s="21" t="n">
        <v>917.5334204</v>
      </c>
      <c r="F245" s="21" t="n">
        <v>0</v>
      </c>
    </row>
    <row r="246" customFormat="false" ht="15" hidden="false" customHeight="false" outlineLevel="0" collapsed="false">
      <c r="A246" s="48" t="n">
        <v>46279</v>
      </c>
      <c r="B246" s="49" t="s">
        <v>108</v>
      </c>
      <c r="C246" s="49" t="s">
        <v>52</v>
      </c>
      <c r="D246" s="19" t="n">
        <v>239158.7871</v>
      </c>
      <c r="E246" s="21" t="n">
        <v>34.16554101</v>
      </c>
      <c r="F246" s="21" t="n">
        <v>0</v>
      </c>
    </row>
    <row r="247" customFormat="false" ht="15" hidden="false" customHeight="false" outlineLevel="0" collapsed="false">
      <c r="A247" s="48" t="n">
        <v>46279</v>
      </c>
      <c r="B247" s="49" t="s">
        <v>108</v>
      </c>
      <c r="C247" s="49" t="s">
        <v>53</v>
      </c>
      <c r="D247" s="19" t="n">
        <v>47711.73786</v>
      </c>
      <c r="E247" s="21" t="n">
        <v>3.975978155</v>
      </c>
      <c r="F247" s="21" t="n">
        <v>0</v>
      </c>
    </row>
    <row r="248" customFormat="false" ht="15" hidden="false" customHeight="false" outlineLevel="0" collapsed="false">
      <c r="A248" s="48" t="n">
        <v>46279</v>
      </c>
      <c r="B248" s="49" t="s">
        <v>108</v>
      </c>
      <c r="C248" s="49" t="s">
        <v>54</v>
      </c>
      <c r="D248" s="19" t="n">
        <v>239158.7871</v>
      </c>
      <c r="E248" s="21" t="n">
        <v>32.74801959</v>
      </c>
      <c r="F248" s="21" t="n">
        <v>0</v>
      </c>
    </row>
    <row r="249" customFormat="false" ht="15" hidden="false" customHeight="false" outlineLevel="0" collapsed="false">
      <c r="A249" s="48" t="n">
        <v>46279</v>
      </c>
      <c r="B249" s="49" t="s">
        <v>108</v>
      </c>
      <c r="C249" s="49" t="s">
        <v>22</v>
      </c>
      <c r="D249" s="19" t="n">
        <v>956635.1484</v>
      </c>
      <c r="E249" s="21" t="n">
        <v>132.8659928</v>
      </c>
      <c r="F249" s="21" t="n">
        <v>0</v>
      </c>
    </row>
    <row r="250" customFormat="false" ht="15" hidden="false" customHeight="false" outlineLevel="0" collapsed="false">
      <c r="A250" s="48" t="n">
        <v>46279</v>
      </c>
      <c r="B250" s="49" t="s">
        <v>108</v>
      </c>
      <c r="C250" s="49" t="s">
        <v>55</v>
      </c>
      <c r="D250" s="19" t="n">
        <v>1195793.935</v>
      </c>
      <c r="E250" s="21" t="n">
        <v>85.41385253</v>
      </c>
      <c r="F250" s="21" t="n">
        <v>0</v>
      </c>
    </row>
    <row r="251" customFormat="false" ht="15" hidden="false" customHeight="false" outlineLevel="0" collapsed="false">
      <c r="A251" s="48" t="n">
        <v>46279</v>
      </c>
      <c r="B251" s="49" t="s">
        <v>108</v>
      </c>
      <c r="C251" s="49" t="s">
        <v>56</v>
      </c>
      <c r="D251" s="19" t="n">
        <v>429405.64075</v>
      </c>
      <c r="E251" s="21" t="n">
        <v>53.6757051</v>
      </c>
      <c r="F251" s="21" t="n">
        <v>0</v>
      </c>
    </row>
    <row r="252" customFormat="false" ht="15" hidden="false" customHeight="false" outlineLevel="0" collapsed="false">
      <c r="A252" s="48" t="n">
        <v>46279</v>
      </c>
      <c r="B252" s="49" t="s">
        <v>108</v>
      </c>
      <c r="C252" s="49" t="s">
        <v>57</v>
      </c>
      <c r="D252" s="19" t="n">
        <v>7877970.517</v>
      </c>
      <c r="E252" s="21" t="n">
        <v>508.2561624</v>
      </c>
      <c r="F252" s="21" t="n">
        <v>0</v>
      </c>
    </row>
    <row r="253" customFormat="false" ht="15" hidden="false" customHeight="false" outlineLevel="0" collapsed="false">
      <c r="A253" s="48" t="n">
        <v>46279</v>
      </c>
      <c r="B253" s="49" t="s">
        <v>108</v>
      </c>
      <c r="C253" s="49" t="s">
        <v>58</v>
      </c>
      <c r="D253" s="19" t="n">
        <v>2385586.893</v>
      </c>
      <c r="E253" s="21" t="n">
        <v>458.7667102</v>
      </c>
      <c r="F253" s="21" t="n">
        <v>0</v>
      </c>
    </row>
    <row r="254" customFormat="false" ht="15" hidden="false" customHeight="false" outlineLevel="0" collapsed="false">
      <c r="A254" s="48" t="n">
        <v>46280</v>
      </c>
      <c r="B254" s="49" t="s">
        <v>26</v>
      </c>
      <c r="C254" s="49" t="s">
        <v>52</v>
      </c>
      <c r="D254" s="19" t="n">
        <v>275873.6203</v>
      </c>
      <c r="E254" s="21" t="n">
        <v>34.48420254</v>
      </c>
      <c r="F254" s="21" t="n">
        <v>3.448420254</v>
      </c>
    </row>
    <row r="255" customFormat="false" ht="15" hidden="false" customHeight="false" outlineLevel="0" collapsed="false">
      <c r="A255" s="48" t="n">
        <v>46280</v>
      </c>
      <c r="B255" s="49" t="s">
        <v>26</v>
      </c>
      <c r="C255" s="49" t="s">
        <v>53</v>
      </c>
      <c r="D255" s="19" t="n">
        <v>40164.99123</v>
      </c>
      <c r="E255" s="21" t="n">
        <v>3.3470826025</v>
      </c>
      <c r="F255" s="21" t="n">
        <v>0</v>
      </c>
    </row>
    <row r="256" customFormat="false" ht="15" hidden="false" customHeight="false" outlineLevel="0" collapsed="false">
      <c r="A256" s="48" t="n">
        <v>46280</v>
      </c>
      <c r="B256" s="49" t="s">
        <v>26</v>
      </c>
      <c r="C256" s="49" t="s">
        <v>22</v>
      </c>
      <c r="D256" s="19" t="n">
        <v>682590.1577</v>
      </c>
      <c r="E256" s="21" t="n">
        <v>71.85159555</v>
      </c>
      <c r="F256" s="21" t="n">
        <v>7.584335086</v>
      </c>
    </row>
    <row r="257" customFormat="false" ht="15" hidden="false" customHeight="false" outlineLevel="0" collapsed="false">
      <c r="A257" s="48" t="n">
        <v>46280</v>
      </c>
      <c r="B257" s="49" t="s">
        <v>26</v>
      </c>
      <c r="C257" s="49" t="s">
        <v>55</v>
      </c>
      <c r="D257" s="19" t="n">
        <v>1576420.688</v>
      </c>
      <c r="E257" s="21" t="n">
        <v>105.0947125</v>
      </c>
      <c r="F257" s="21" t="n">
        <v>15.76420688</v>
      </c>
    </row>
    <row r="258" customFormat="false" ht="15" hidden="false" customHeight="false" outlineLevel="0" collapsed="false">
      <c r="A258" s="48" t="n">
        <v>46280</v>
      </c>
      <c r="B258" s="49" t="s">
        <v>26</v>
      </c>
      <c r="C258" s="49" t="s">
        <v>56</v>
      </c>
      <c r="D258" s="19" t="n">
        <v>361484.9211</v>
      </c>
      <c r="E258" s="21" t="n">
        <v>45.185615135</v>
      </c>
      <c r="F258" s="21" t="n">
        <v>0</v>
      </c>
    </row>
    <row r="259" customFormat="false" ht="15" hidden="false" customHeight="false" outlineLevel="0" collapsed="false">
      <c r="A259" s="48" t="n">
        <v>46280</v>
      </c>
      <c r="B259" s="49" t="s">
        <v>26</v>
      </c>
      <c r="C259" s="49" t="s">
        <v>57</v>
      </c>
      <c r="D259" s="19" t="n">
        <v>9458524.125</v>
      </c>
      <c r="E259" s="21" t="n">
        <v>497.8170592</v>
      </c>
      <c r="F259" s="21" t="n">
        <v>145.5157558</v>
      </c>
    </row>
    <row r="260" customFormat="false" ht="15" hidden="false" customHeight="false" outlineLevel="0" collapsed="false">
      <c r="A260" s="48" t="n">
        <v>46280</v>
      </c>
      <c r="B260" s="49" t="s">
        <v>26</v>
      </c>
      <c r="C260" s="49" t="s">
        <v>58</v>
      </c>
      <c r="D260" s="19" t="n">
        <v>2008249.5615</v>
      </c>
      <c r="E260" s="21" t="n">
        <v>386.20183875</v>
      </c>
      <c r="F260" s="21" t="n">
        <v>0</v>
      </c>
    </row>
    <row r="261" customFormat="false" ht="15" hidden="false" customHeight="false" outlineLevel="0" collapsed="false">
      <c r="A261" s="48" t="n">
        <v>46280</v>
      </c>
      <c r="B261" s="49" t="s">
        <v>27</v>
      </c>
      <c r="C261" s="49" t="s">
        <v>53</v>
      </c>
      <c r="D261" s="19" t="n">
        <v>80329.98246</v>
      </c>
      <c r="E261" s="21" t="n">
        <v>6.694165205</v>
      </c>
      <c r="F261" s="21" t="n">
        <v>0</v>
      </c>
    </row>
    <row r="262" customFormat="false" ht="15" hidden="false" customHeight="false" outlineLevel="0" collapsed="false">
      <c r="A262" s="48" t="n">
        <v>46280</v>
      </c>
      <c r="B262" s="49" t="s">
        <v>27</v>
      </c>
      <c r="C262" s="49" t="s">
        <v>56</v>
      </c>
      <c r="D262" s="19" t="n">
        <v>722969.8422</v>
      </c>
      <c r="E262" s="21" t="n">
        <v>90.37123027</v>
      </c>
      <c r="F262" s="21" t="n">
        <v>0</v>
      </c>
    </row>
    <row r="263" customFormat="false" ht="15" hidden="false" customHeight="false" outlineLevel="0" collapsed="false">
      <c r="A263" s="48" t="n">
        <v>46280</v>
      </c>
      <c r="B263" s="49" t="s">
        <v>27</v>
      </c>
      <c r="C263" s="49" t="s">
        <v>58</v>
      </c>
      <c r="D263" s="19" t="n">
        <v>4016499.123</v>
      </c>
      <c r="E263" s="21" t="n">
        <v>772.4036775</v>
      </c>
      <c r="F263" s="21" t="n">
        <v>0</v>
      </c>
    </row>
    <row r="264" customFormat="false" ht="15" hidden="false" customHeight="false" outlineLevel="0" collapsed="false">
      <c r="A264" s="48" t="n">
        <v>46280</v>
      </c>
      <c r="B264" s="49" t="s">
        <v>108</v>
      </c>
      <c r="C264" s="49" t="s">
        <v>52</v>
      </c>
      <c r="D264" s="19" t="n">
        <v>204597.3264</v>
      </c>
      <c r="E264" s="21" t="n">
        <v>29.22818948</v>
      </c>
      <c r="F264" s="21" t="n">
        <v>0</v>
      </c>
    </row>
    <row r="265" customFormat="false" ht="15" hidden="false" customHeight="false" outlineLevel="0" collapsed="false">
      <c r="A265" s="48" t="n">
        <v>46280</v>
      </c>
      <c r="B265" s="49" t="s">
        <v>108</v>
      </c>
      <c r="C265" s="49" t="s">
        <v>53</v>
      </c>
      <c r="D265" s="19" t="n">
        <v>40164.99123</v>
      </c>
      <c r="E265" s="21" t="n">
        <v>3.3470826025</v>
      </c>
      <c r="F265" s="21" t="n">
        <v>0</v>
      </c>
    </row>
    <row r="266" customFormat="false" ht="15" hidden="false" customHeight="false" outlineLevel="0" collapsed="false">
      <c r="A266" s="48" t="n">
        <v>46280</v>
      </c>
      <c r="B266" s="49" t="s">
        <v>108</v>
      </c>
      <c r="C266" s="49" t="s">
        <v>54</v>
      </c>
      <c r="D266" s="19" t="n">
        <v>204597.3264</v>
      </c>
      <c r="E266" s="21" t="n">
        <v>28.01551778</v>
      </c>
      <c r="F266" s="21" t="n">
        <v>0</v>
      </c>
    </row>
    <row r="267" customFormat="false" ht="15" hidden="false" customHeight="false" outlineLevel="0" collapsed="false">
      <c r="A267" s="48" t="n">
        <v>46280</v>
      </c>
      <c r="B267" s="49" t="s">
        <v>108</v>
      </c>
      <c r="C267" s="49" t="s">
        <v>22</v>
      </c>
      <c r="D267" s="19" t="n">
        <v>818389.3055</v>
      </c>
      <c r="E267" s="21" t="n">
        <v>113.6651813</v>
      </c>
      <c r="F267" s="21" t="n">
        <v>0</v>
      </c>
    </row>
    <row r="268" customFormat="false" ht="15" hidden="false" customHeight="false" outlineLevel="0" collapsed="false">
      <c r="A268" s="48" t="n">
        <v>46280</v>
      </c>
      <c r="B268" s="49" t="s">
        <v>108</v>
      </c>
      <c r="C268" s="49" t="s">
        <v>55</v>
      </c>
      <c r="D268" s="19" t="n">
        <v>1022986.632</v>
      </c>
      <c r="E268" s="21" t="n">
        <v>73.07047371</v>
      </c>
      <c r="F268" s="21" t="n">
        <v>0</v>
      </c>
    </row>
    <row r="269" customFormat="false" ht="15" hidden="false" customHeight="false" outlineLevel="0" collapsed="false">
      <c r="A269" s="48" t="n">
        <v>46280</v>
      </c>
      <c r="B269" s="49" t="s">
        <v>108</v>
      </c>
      <c r="C269" s="49" t="s">
        <v>56</v>
      </c>
      <c r="D269" s="19" t="n">
        <v>361484.9211</v>
      </c>
      <c r="E269" s="21" t="n">
        <v>45.185615135</v>
      </c>
      <c r="F269" s="21" t="n">
        <v>0</v>
      </c>
    </row>
    <row r="270" customFormat="false" ht="15" hidden="false" customHeight="false" outlineLevel="0" collapsed="false">
      <c r="A270" s="48" t="n">
        <v>46280</v>
      </c>
      <c r="B270" s="49" t="s">
        <v>108</v>
      </c>
      <c r="C270" s="49" t="s">
        <v>57</v>
      </c>
      <c r="D270" s="19" t="n">
        <v>6739504.43</v>
      </c>
      <c r="E270" s="21" t="n">
        <v>434.8067374</v>
      </c>
      <c r="F270" s="21" t="n">
        <v>0</v>
      </c>
    </row>
    <row r="271" customFormat="false" ht="15" hidden="false" customHeight="false" outlineLevel="0" collapsed="false">
      <c r="A271" s="48" t="n">
        <v>46280</v>
      </c>
      <c r="B271" s="49" t="s">
        <v>108</v>
      </c>
      <c r="C271" s="49" t="s">
        <v>58</v>
      </c>
      <c r="D271" s="19" t="n">
        <v>2008249.5615</v>
      </c>
      <c r="E271" s="21" t="n">
        <v>386.20183875</v>
      </c>
      <c r="F271" s="21" t="n">
        <v>0</v>
      </c>
    </row>
    <row r="272" customFormat="false" ht="15" hidden="false" customHeight="false" outlineLevel="0" collapsed="false">
      <c r="A272" s="48" t="n">
        <v>46281</v>
      </c>
      <c r="B272" s="49" t="s">
        <v>26</v>
      </c>
      <c r="C272" s="49" t="s">
        <v>52</v>
      </c>
      <c r="D272" s="19" t="n">
        <v>224147.3165</v>
      </c>
      <c r="E272" s="21" t="n">
        <v>28.01841456</v>
      </c>
      <c r="F272" s="21" t="n">
        <v>2.801841456</v>
      </c>
    </row>
    <row r="273" customFormat="false" ht="15" hidden="false" customHeight="false" outlineLevel="0" collapsed="false">
      <c r="A273" s="48" t="n">
        <v>46281</v>
      </c>
      <c r="B273" s="49" t="s">
        <v>26</v>
      </c>
      <c r="C273" s="49" t="s">
        <v>53</v>
      </c>
      <c r="D273" s="19" t="n">
        <v>35329.07494</v>
      </c>
      <c r="E273" s="21" t="n">
        <v>2.9440895785</v>
      </c>
      <c r="F273" s="21" t="n">
        <v>0</v>
      </c>
    </row>
    <row r="274" customFormat="false" ht="15" hidden="false" customHeight="false" outlineLevel="0" collapsed="false">
      <c r="A274" s="48" t="n">
        <v>46281</v>
      </c>
      <c r="B274" s="49" t="s">
        <v>26</v>
      </c>
      <c r="C274" s="49" t="s">
        <v>22</v>
      </c>
      <c r="D274" s="19" t="n">
        <v>554604.5031</v>
      </c>
      <c r="E274" s="21" t="n">
        <v>58.37942138</v>
      </c>
      <c r="F274" s="21" t="n">
        <v>6.162272257</v>
      </c>
    </row>
    <row r="275" customFormat="false" ht="15" hidden="false" customHeight="false" outlineLevel="0" collapsed="false">
      <c r="A275" s="48" t="n">
        <v>46281</v>
      </c>
      <c r="B275" s="49" t="s">
        <v>26</v>
      </c>
      <c r="C275" s="49" t="s">
        <v>55</v>
      </c>
      <c r="D275" s="19" t="n">
        <v>1280841.809</v>
      </c>
      <c r="E275" s="21" t="n">
        <v>85.38945391</v>
      </c>
      <c r="F275" s="21" t="n">
        <v>12.80841809</v>
      </c>
    </row>
    <row r="276" customFormat="false" ht="15" hidden="false" customHeight="false" outlineLevel="0" collapsed="false">
      <c r="A276" s="48" t="n">
        <v>46281</v>
      </c>
      <c r="B276" s="49" t="s">
        <v>26</v>
      </c>
      <c r="C276" s="49" t="s">
        <v>56</v>
      </c>
      <c r="D276" s="19" t="n">
        <v>317961.67445</v>
      </c>
      <c r="E276" s="21" t="n">
        <v>39.745209305</v>
      </c>
      <c r="F276" s="21" t="n">
        <v>0</v>
      </c>
    </row>
    <row r="277" customFormat="false" ht="15" hidden="false" customHeight="false" outlineLevel="0" collapsed="false">
      <c r="A277" s="48" t="n">
        <v>46281</v>
      </c>
      <c r="B277" s="49" t="s">
        <v>26</v>
      </c>
      <c r="C277" s="49" t="s">
        <v>57</v>
      </c>
      <c r="D277" s="19" t="n">
        <v>7685050.852</v>
      </c>
      <c r="E277" s="21" t="n">
        <v>404.4763606</v>
      </c>
      <c r="F277" s="21" t="n">
        <v>118.2315516</v>
      </c>
    </row>
    <row r="278" customFormat="false" ht="15" hidden="false" customHeight="false" outlineLevel="0" collapsed="false">
      <c r="A278" s="48" t="n">
        <v>46281</v>
      </c>
      <c r="B278" s="49" t="s">
        <v>26</v>
      </c>
      <c r="C278" s="49" t="s">
        <v>58</v>
      </c>
      <c r="D278" s="19" t="n">
        <v>1766453.747</v>
      </c>
      <c r="E278" s="21" t="n">
        <v>339.70264365</v>
      </c>
      <c r="F278" s="21" t="n">
        <v>0</v>
      </c>
    </row>
    <row r="279" customFormat="false" ht="15" hidden="false" customHeight="false" outlineLevel="0" collapsed="false">
      <c r="A279" s="48" t="n">
        <v>46281</v>
      </c>
      <c r="B279" s="49" t="s">
        <v>27</v>
      </c>
      <c r="C279" s="49" t="s">
        <v>53</v>
      </c>
      <c r="D279" s="19" t="n">
        <v>70658.14988</v>
      </c>
      <c r="E279" s="21" t="n">
        <v>5.888179157</v>
      </c>
      <c r="F279" s="21" t="n">
        <v>0</v>
      </c>
    </row>
    <row r="280" customFormat="false" ht="15" hidden="false" customHeight="false" outlineLevel="0" collapsed="false">
      <c r="A280" s="48" t="n">
        <v>46281</v>
      </c>
      <c r="B280" s="49" t="s">
        <v>27</v>
      </c>
      <c r="C280" s="49" t="s">
        <v>56</v>
      </c>
      <c r="D280" s="19" t="n">
        <v>635923.3489</v>
      </c>
      <c r="E280" s="21" t="n">
        <v>79.49041861</v>
      </c>
      <c r="F280" s="21" t="n">
        <v>0</v>
      </c>
    </row>
    <row r="281" customFormat="false" ht="15" hidden="false" customHeight="false" outlineLevel="0" collapsed="false">
      <c r="A281" s="48" t="n">
        <v>46281</v>
      </c>
      <c r="B281" s="49" t="s">
        <v>27</v>
      </c>
      <c r="C281" s="49" t="s">
        <v>58</v>
      </c>
      <c r="D281" s="19" t="n">
        <v>3532907.494</v>
      </c>
      <c r="E281" s="21" t="n">
        <v>679.4052873</v>
      </c>
      <c r="F281" s="21" t="n">
        <v>0</v>
      </c>
    </row>
    <row r="282" customFormat="false" ht="15" hidden="false" customHeight="false" outlineLevel="0" collapsed="false">
      <c r="A282" s="48" t="n">
        <v>46281</v>
      </c>
      <c r="B282" s="49" t="s">
        <v>108</v>
      </c>
      <c r="C282" s="49" t="s">
        <v>52</v>
      </c>
      <c r="D282" s="19" t="n">
        <v>193185.5233</v>
      </c>
      <c r="E282" s="21" t="n">
        <v>27.5979319</v>
      </c>
      <c r="F282" s="21" t="n">
        <v>0</v>
      </c>
    </row>
    <row r="283" customFormat="false" ht="15" hidden="false" customHeight="false" outlineLevel="0" collapsed="false">
      <c r="A283" s="48" t="n">
        <v>46281</v>
      </c>
      <c r="B283" s="49" t="s">
        <v>108</v>
      </c>
      <c r="C283" s="49" t="s">
        <v>53</v>
      </c>
      <c r="D283" s="19" t="n">
        <v>35329.07494</v>
      </c>
      <c r="E283" s="21" t="n">
        <v>2.9440895785</v>
      </c>
      <c r="F283" s="21" t="n">
        <v>0</v>
      </c>
    </row>
    <row r="284" customFormat="false" ht="15" hidden="false" customHeight="false" outlineLevel="0" collapsed="false">
      <c r="A284" s="48" t="n">
        <v>46281</v>
      </c>
      <c r="B284" s="49" t="s">
        <v>108</v>
      </c>
      <c r="C284" s="49" t="s">
        <v>54</v>
      </c>
      <c r="D284" s="19" t="n">
        <v>193185.5233</v>
      </c>
      <c r="E284" s="21" t="n">
        <v>26.45289926</v>
      </c>
      <c r="F284" s="21" t="n">
        <v>0</v>
      </c>
    </row>
    <row r="285" customFormat="false" ht="15" hidden="false" customHeight="false" outlineLevel="0" collapsed="false">
      <c r="A285" s="48" t="n">
        <v>46281</v>
      </c>
      <c r="B285" s="49" t="s">
        <v>108</v>
      </c>
      <c r="C285" s="49" t="s">
        <v>22</v>
      </c>
      <c r="D285" s="19" t="n">
        <v>772742.0933</v>
      </c>
      <c r="E285" s="21" t="n">
        <v>107.3252907</v>
      </c>
      <c r="F285" s="21" t="n">
        <v>0</v>
      </c>
    </row>
    <row r="286" customFormat="false" ht="15" hidden="false" customHeight="false" outlineLevel="0" collapsed="false">
      <c r="A286" s="48" t="n">
        <v>46281</v>
      </c>
      <c r="B286" s="49" t="s">
        <v>108</v>
      </c>
      <c r="C286" s="49" t="s">
        <v>55</v>
      </c>
      <c r="D286" s="19" t="n">
        <v>965927.6166</v>
      </c>
      <c r="E286" s="21" t="n">
        <v>68.99482975</v>
      </c>
      <c r="F286" s="21" t="n">
        <v>0</v>
      </c>
    </row>
    <row r="287" customFormat="false" ht="15" hidden="false" customHeight="false" outlineLevel="0" collapsed="false">
      <c r="A287" s="48" t="n">
        <v>46281</v>
      </c>
      <c r="B287" s="49" t="s">
        <v>108</v>
      </c>
      <c r="C287" s="49" t="s">
        <v>56</v>
      </c>
      <c r="D287" s="19" t="n">
        <v>317961.67445</v>
      </c>
      <c r="E287" s="21" t="n">
        <v>39.745209305</v>
      </c>
      <c r="F287" s="21" t="n">
        <v>0</v>
      </c>
    </row>
    <row r="288" customFormat="false" ht="15" hidden="false" customHeight="false" outlineLevel="0" collapsed="false">
      <c r="A288" s="48" t="n">
        <v>46281</v>
      </c>
      <c r="B288" s="49" t="s">
        <v>108</v>
      </c>
      <c r="C288" s="49" t="s">
        <v>57</v>
      </c>
      <c r="D288" s="19" t="n">
        <v>6363595.816</v>
      </c>
      <c r="E288" s="21" t="n">
        <v>410.5545688</v>
      </c>
      <c r="F288" s="21" t="n">
        <v>0</v>
      </c>
    </row>
    <row r="289" customFormat="false" ht="15" hidden="false" customHeight="false" outlineLevel="0" collapsed="false">
      <c r="A289" s="48" t="n">
        <v>46281</v>
      </c>
      <c r="B289" s="49" t="s">
        <v>108</v>
      </c>
      <c r="C289" s="49" t="s">
        <v>58</v>
      </c>
      <c r="D289" s="19" t="n">
        <v>1766453.747</v>
      </c>
      <c r="E289" s="21" t="n">
        <v>339.70264365</v>
      </c>
      <c r="F289" s="21" t="n">
        <v>0</v>
      </c>
    </row>
    <row r="290" customFormat="false" ht="15" hidden="false" customHeight="false" outlineLevel="0" collapsed="false">
      <c r="A290" s="48" t="n">
        <v>46282</v>
      </c>
      <c r="B290" s="49" t="s">
        <v>26</v>
      </c>
      <c r="C290" s="49" t="s">
        <v>52</v>
      </c>
      <c r="D290" s="19" t="n">
        <v>163492.0674</v>
      </c>
      <c r="E290" s="21" t="n">
        <v>20.43650843</v>
      </c>
      <c r="F290" s="21" t="n">
        <v>2.043650843</v>
      </c>
    </row>
    <row r="291" customFormat="false" ht="15" hidden="false" customHeight="false" outlineLevel="0" collapsed="false">
      <c r="A291" s="48" t="n">
        <v>46282</v>
      </c>
      <c r="B291" s="49" t="s">
        <v>26</v>
      </c>
      <c r="C291" s="49" t="s">
        <v>53</v>
      </c>
      <c r="D291" s="19" t="n">
        <v>23823.42379</v>
      </c>
      <c r="E291" s="21" t="n">
        <v>1.985285316</v>
      </c>
      <c r="F291" s="21" t="n">
        <v>0</v>
      </c>
    </row>
    <row r="292" customFormat="false" ht="15" hidden="false" customHeight="false" outlineLevel="0" collapsed="false">
      <c r="A292" s="48" t="n">
        <v>46282</v>
      </c>
      <c r="B292" s="49" t="s">
        <v>26</v>
      </c>
      <c r="C292" s="49" t="s">
        <v>22</v>
      </c>
      <c r="D292" s="19" t="n">
        <v>404526.0868</v>
      </c>
      <c r="E292" s="21" t="n">
        <v>42.58169334</v>
      </c>
      <c r="F292" s="21" t="n">
        <v>4.494734297</v>
      </c>
    </row>
    <row r="293" customFormat="false" ht="15" hidden="false" customHeight="false" outlineLevel="0" collapsed="false">
      <c r="A293" s="48" t="n">
        <v>46282</v>
      </c>
      <c r="B293" s="49" t="s">
        <v>26</v>
      </c>
      <c r="C293" s="49" t="s">
        <v>55</v>
      </c>
      <c r="D293" s="19" t="n">
        <v>934240.3852</v>
      </c>
      <c r="E293" s="21" t="n">
        <v>62.28269234</v>
      </c>
      <c r="F293" s="21" t="n">
        <v>9.342403852</v>
      </c>
    </row>
    <row r="294" customFormat="false" ht="15" hidden="false" customHeight="false" outlineLevel="0" collapsed="false">
      <c r="A294" s="48" t="n">
        <v>46282</v>
      </c>
      <c r="B294" s="49" t="s">
        <v>26</v>
      </c>
      <c r="C294" s="49" t="s">
        <v>56</v>
      </c>
      <c r="D294" s="19" t="n">
        <v>214410.8141</v>
      </c>
      <c r="E294" s="21" t="n">
        <v>26.801351765</v>
      </c>
      <c r="F294" s="21" t="n">
        <v>0</v>
      </c>
    </row>
    <row r="295" customFormat="false" ht="15" hidden="false" customHeight="false" outlineLevel="0" collapsed="false">
      <c r="A295" s="48" t="n">
        <v>46282</v>
      </c>
      <c r="B295" s="49" t="s">
        <v>26</v>
      </c>
      <c r="C295" s="49" t="s">
        <v>57</v>
      </c>
      <c r="D295" s="19" t="n">
        <v>5605442.311</v>
      </c>
      <c r="E295" s="21" t="n">
        <v>295.0232795</v>
      </c>
      <c r="F295" s="21" t="n">
        <v>86.23757401</v>
      </c>
    </row>
    <row r="296" customFormat="false" ht="15" hidden="false" customHeight="false" outlineLevel="0" collapsed="false">
      <c r="A296" s="48" t="n">
        <v>46282</v>
      </c>
      <c r="B296" s="49" t="s">
        <v>26</v>
      </c>
      <c r="C296" s="49" t="s">
        <v>58</v>
      </c>
      <c r="D296" s="19" t="n">
        <v>1191171.1895</v>
      </c>
      <c r="E296" s="21" t="n">
        <v>229.0713826</v>
      </c>
      <c r="F296" s="21" t="n">
        <v>0</v>
      </c>
    </row>
    <row r="297" customFormat="false" ht="15" hidden="false" customHeight="false" outlineLevel="0" collapsed="false">
      <c r="A297" s="48" t="n">
        <v>46282</v>
      </c>
      <c r="B297" s="49" t="s">
        <v>27</v>
      </c>
      <c r="C297" s="49" t="s">
        <v>53</v>
      </c>
      <c r="D297" s="19" t="n">
        <v>47646.84758</v>
      </c>
      <c r="E297" s="21" t="n">
        <v>3.970570632</v>
      </c>
      <c r="F297" s="21" t="n">
        <v>0</v>
      </c>
    </row>
    <row r="298" customFormat="false" ht="15" hidden="false" customHeight="false" outlineLevel="0" collapsed="false">
      <c r="A298" s="48" t="n">
        <v>46282</v>
      </c>
      <c r="B298" s="49" t="s">
        <v>27</v>
      </c>
      <c r="C298" s="49" t="s">
        <v>56</v>
      </c>
      <c r="D298" s="19" t="n">
        <v>428821.6282</v>
      </c>
      <c r="E298" s="21" t="n">
        <v>53.60270353</v>
      </c>
      <c r="F298" s="21" t="n">
        <v>0</v>
      </c>
    </row>
    <row r="299" customFormat="false" ht="15" hidden="false" customHeight="false" outlineLevel="0" collapsed="false">
      <c r="A299" s="48" t="n">
        <v>46282</v>
      </c>
      <c r="B299" s="49" t="s">
        <v>27</v>
      </c>
      <c r="C299" s="49" t="s">
        <v>58</v>
      </c>
      <c r="D299" s="19" t="n">
        <v>2382342.379</v>
      </c>
      <c r="E299" s="21" t="n">
        <v>458.1427652</v>
      </c>
      <c r="F299" s="21" t="n">
        <v>0</v>
      </c>
    </row>
    <row r="300" customFormat="false" ht="15" hidden="false" customHeight="false" outlineLevel="0" collapsed="false">
      <c r="A300" s="48" t="n">
        <v>46282</v>
      </c>
      <c r="B300" s="49" t="s">
        <v>108</v>
      </c>
      <c r="C300" s="49" t="s">
        <v>52</v>
      </c>
      <c r="D300" s="19" t="n">
        <v>121454.1898</v>
      </c>
      <c r="E300" s="21" t="n">
        <v>17.35059854</v>
      </c>
      <c r="F300" s="21" t="n">
        <v>0</v>
      </c>
    </row>
    <row r="301" customFormat="false" ht="15" hidden="false" customHeight="false" outlineLevel="0" collapsed="false">
      <c r="A301" s="48" t="n">
        <v>46282</v>
      </c>
      <c r="B301" s="49" t="s">
        <v>108</v>
      </c>
      <c r="C301" s="49" t="s">
        <v>53</v>
      </c>
      <c r="D301" s="19" t="n">
        <v>23823.42379</v>
      </c>
      <c r="E301" s="21" t="n">
        <v>1.985285316</v>
      </c>
      <c r="F301" s="21" t="n">
        <v>0</v>
      </c>
    </row>
    <row r="302" customFormat="false" ht="15" hidden="false" customHeight="false" outlineLevel="0" collapsed="false">
      <c r="A302" s="48" t="n">
        <v>46282</v>
      </c>
      <c r="B302" s="49" t="s">
        <v>108</v>
      </c>
      <c r="C302" s="49" t="s">
        <v>54</v>
      </c>
      <c r="D302" s="19" t="n">
        <v>121454.1898</v>
      </c>
      <c r="E302" s="21" t="n">
        <v>16.6307257</v>
      </c>
      <c r="F302" s="21" t="n">
        <v>0</v>
      </c>
    </row>
    <row r="303" customFormat="false" ht="15" hidden="false" customHeight="false" outlineLevel="0" collapsed="false">
      <c r="A303" s="48" t="n">
        <v>46282</v>
      </c>
      <c r="B303" s="49" t="s">
        <v>108</v>
      </c>
      <c r="C303" s="49" t="s">
        <v>22</v>
      </c>
      <c r="D303" s="19" t="n">
        <v>485816.759</v>
      </c>
      <c r="E303" s="21" t="n">
        <v>67.47454987</v>
      </c>
      <c r="F303" s="21" t="n">
        <v>0</v>
      </c>
    </row>
    <row r="304" customFormat="false" ht="15" hidden="false" customHeight="false" outlineLevel="0" collapsed="false">
      <c r="A304" s="48" t="n">
        <v>46282</v>
      </c>
      <c r="B304" s="49" t="s">
        <v>108</v>
      </c>
      <c r="C304" s="49" t="s">
        <v>55</v>
      </c>
      <c r="D304" s="19" t="n">
        <v>607270.9488</v>
      </c>
      <c r="E304" s="21" t="n">
        <v>43.37649634</v>
      </c>
      <c r="F304" s="21" t="n">
        <v>0</v>
      </c>
    </row>
    <row r="305" customFormat="false" ht="15" hidden="false" customHeight="false" outlineLevel="0" collapsed="false">
      <c r="A305" s="48" t="n">
        <v>46282</v>
      </c>
      <c r="B305" s="49" t="s">
        <v>108</v>
      </c>
      <c r="C305" s="49" t="s">
        <v>56</v>
      </c>
      <c r="D305" s="19" t="n">
        <v>214410.8141</v>
      </c>
      <c r="E305" s="21" t="n">
        <v>26.801351765</v>
      </c>
      <c r="F305" s="21" t="n">
        <v>0</v>
      </c>
    </row>
    <row r="306" customFormat="false" ht="15" hidden="false" customHeight="false" outlineLevel="0" collapsed="false">
      <c r="A306" s="48" t="n">
        <v>46282</v>
      </c>
      <c r="B306" s="49" t="s">
        <v>108</v>
      </c>
      <c r="C306" s="49" t="s">
        <v>57</v>
      </c>
      <c r="D306" s="19" t="n">
        <v>4000741.674</v>
      </c>
      <c r="E306" s="21" t="n">
        <v>258.112366</v>
      </c>
      <c r="F306" s="21" t="n">
        <v>0</v>
      </c>
    </row>
    <row r="307" customFormat="false" ht="15" hidden="false" customHeight="false" outlineLevel="0" collapsed="false">
      <c r="A307" s="48" t="n">
        <v>46282</v>
      </c>
      <c r="B307" s="49" t="s">
        <v>108</v>
      </c>
      <c r="C307" s="49" t="s">
        <v>58</v>
      </c>
      <c r="D307" s="19" t="n">
        <v>1191171.1895</v>
      </c>
      <c r="E307" s="21" t="n">
        <v>229.0713826</v>
      </c>
      <c r="F307" s="21" t="n">
        <v>0</v>
      </c>
    </row>
    <row r="308" customFormat="false" ht="15" hidden="false" customHeight="false" outlineLevel="0" collapsed="false">
      <c r="A308" s="48" t="n">
        <v>46283</v>
      </c>
      <c r="B308" s="49" t="s">
        <v>26</v>
      </c>
      <c r="C308" s="49" t="s">
        <v>52</v>
      </c>
      <c r="D308" s="19" t="n">
        <v>132086.8115</v>
      </c>
      <c r="E308" s="21" t="n">
        <v>16.51085144</v>
      </c>
      <c r="F308" s="21" t="n">
        <v>1.651085144</v>
      </c>
    </row>
    <row r="309" customFormat="false" ht="15" hidden="false" customHeight="false" outlineLevel="0" collapsed="false">
      <c r="A309" s="48" t="n">
        <v>46283</v>
      </c>
      <c r="B309" s="49" t="s">
        <v>26</v>
      </c>
      <c r="C309" s="49" t="s">
        <v>53</v>
      </c>
      <c r="D309" s="19" t="n">
        <v>16428.57727</v>
      </c>
      <c r="E309" s="21" t="n">
        <v>1.369048106</v>
      </c>
      <c r="F309" s="21" t="n">
        <v>0</v>
      </c>
    </row>
    <row r="310" customFormat="false" ht="15" hidden="false" customHeight="false" outlineLevel="0" collapsed="false">
      <c r="A310" s="48" t="n">
        <v>46283</v>
      </c>
      <c r="B310" s="49" t="s">
        <v>26</v>
      </c>
      <c r="C310" s="49" t="s">
        <v>22</v>
      </c>
      <c r="D310" s="19" t="n">
        <v>326820.5108</v>
      </c>
      <c r="E310" s="21" t="n">
        <v>34.40215903</v>
      </c>
      <c r="F310" s="21" t="n">
        <v>3.631339009</v>
      </c>
    </row>
    <row r="311" customFormat="false" ht="15" hidden="false" customHeight="false" outlineLevel="0" collapsed="false">
      <c r="A311" s="48" t="n">
        <v>46283</v>
      </c>
      <c r="B311" s="49" t="s">
        <v>26</v>
      </c>
      <c r="C311" s="49" t="s">
        <v>55</v>
      </c>
      <c r="D311" s="19" t="n">
        <v>754781.7801</v>
      </c>
      <c r="E311" s="21" t="n">
        <v>50.31878534</v>
      </c>
      <c r="F311" s="21" t="n">
        <v>7.547817801</v>
      </c>
    </row>
    <row r="312" customFormat="false" ht="15" hidden="false" customHeight="false" outlineLevel="0" collapsed="false">
      <c r="A312" s="48" t="n">
        <v>46283</v>
      </c>
      <c r="B312" s="49" t="s">
        <v>26</v>
      </c>
      <c r="C312" s="49" t="s">
        <v>56</v>
      </c>
      <c r="D312" s="19" t="n">
        <v>147857.19545</v>
      </c>
      <c r="E312" s="21" t="n">
        <v>18.48214943</v>
      </c>
      <c r="F312" s="21" t="n">
        <v>0</v>
      </c>
    </row>
    <row r="313" customFormat="false" ht="15" hidden="false" customHeight="false" outlineLevel="0" collapsed="false">
      <c r="A313" s="48" t="n">
        <v>46283</v>
      </c>
      <c r="B313" s="49" t="s">
        <v>26</v>
      </c>
      <c r="C313" s="49" t="s">
        <v>57</v>
      </c>
      <c r="D313" s="19" t="n">
        <v>4528690.681</v>
      </c>
      <c r="E313" s="21" t="n">
        <v>238.3521411</v>
      </c>
      <c r="F313" s="21" t="n">
        <v>69.67216432</v>
      </c>
    </row>
    <row r="314" customFormat="false" ht="15" hidden="false" customHeight="false" outlineLevel="0" collapsed="false">
      <c r="A314" s="48" t="n">
        <v>46283</v>
      </c>
      <c r="B314" s="49" t="s">
        <v>26</v>
      </c>
      <c r="C314" s="49" t="s">
        <v>58</v>
      </c>
      <c r="D314" s="19" t="n">
        <v>821428.8635</v>
      </c>
      <c r="E314" s="21" t="n">
        <v>157.96708915</v>
      </c>
      <c r="F314" s="21" t="n">
        <v>0</v>
      </c>
    </row>
    <row r="315" customFormat="false" ht="15" hidden="false" customHeight="false" outlineLevel="0" collapsed="false">
      <c r="A315" s="48" t="n">
        <v>46283</v>
      </c>
      <c r="B315" s="49" t="s">
        <v>27</v>
      </c>
      <c r="C315" s="49" t="s">
        <v>53</v>
      </c>
      <c r="D315" s="19" t="n">
        <v>32857.15454</v>
      </c>
      <c r="E315" s="21" t="n">
        <v>2.738096212</v>
      </c>
      <c r="F315" s="21" t="n">
        <v>0</v>
      </c>
    </row>
    <row r="316" customFormat="false" ht="15" hidden="false" customHeight="false" outlineLevel="0" collapsed="false">
      <c r="A316" s="48" t="n">
        <v>46283</v>
      </c>
      <c r="B316" s="49" t="s">
        <v>27</v>
      </c>
      <c r="C316" s="49" t="s">
        <v>56</v>
      </c>
      <c r="D316" s="19" t="n">
        <v>295714.3909</v>
      </c>
      <c r="E316" s="21" t="n">
        <v>36.96429886</v>
      </c>
      <c r="F316" s="21" t="n">
        <v>0</v>
      </c>
    </row>
    <row r="317" customFormat="false" ht="15" hidden="false" customHeight="false" outlineLevel="0" collapsed="false">
      <c r="A317" s="48" t="n">
        <v>46283</v>
      </c>
      <c r="B317" s="49" t="s">
        <v>27</v>
      </c>
      <c r="C317" s="49" t="s">
        <v>58</v>
      </c>
      <c r="D317" s="19" t="n">
        <v>1642857.727</v>
      </c>
      <c r="E317" s="21" t="n">
        <v>315.9341783</v>
      </c>
      <c r="F317" s="21" t="n">
        <v>0</v>
      </c>
    </row>
    <row r="318" customFormat="false" ht="15" hidden="false" customHeight="false" outlineLevel="0" collapsed="false">
      <c r="A318" s="48" t="n">
        <v>46283</v>
      </c>
      <c r="B318" s="49" t="s">
        <v>108</v>
      </c>
      <c r="C318" s="49" t="s">
        <v>52</v>
      </c>
      <c r="D318" s="19" t="n">
        <v>69938.05021</v>
      </c>
      <c r="E318" s="21" t="n">
        <v>9.99115003</v>
      </c>
      <c r="F318" s="21" t="n">
        <v>0</v>
      </c>
    </row>
    <row r="319" customFormat="false" ht="15" hidden="false" customHeight="false" outlineLevel="0" collapsed="false">
      <c r="A319" s="48" t="n">
        <v>46283</v>
      </c>
      <c r="B319" s="49" t="s">
        <v>108</v>
      </c>
      <c r="C319" s="49" t="s">
        <v>53</v>
      </c>
      <c r="D319" s="19" t="n">
        <v>16428.57727</v>
      </c>
      <c r="E319" s="21" t="n">
        <v>1.369048106</v>
      </c>
      <c r="F319" s="21" t="n">
        <v>0</v>
      </c>
    </row>
    <row r="320" customFormat="false" ht="15" hidden="false" customHeight="false" outlineLevel="0" collapsed="false">
      <c r="A320" s="48" t="n">
        <v>46283</v>
      </c>
      <c r="B320" s="49" t="s">
        <v>108</v>
      </c>
      <c r="C320" s="49" t="s">
        <v>54</v>
      </c>
      <c r="D320" s="19" t="n">
        <v>69938.05021</v>
      </c>
      <c r="E320" s="21" t="n">
        <v>9.576619227</v>
      </c>
      <c r="F320" s="21" t="n">
        <v>0</v>
      </c>
    </row>
    <row r="321" customFormat="false" ht="15" hidden="false" customHeight="false" outlineLevel="0" collapsed="false">
      <c r="A321" s="48" t="n">
        <v>46283</v>
      </c>
      <c r="B321" s="49" t="s">
        <v>108</v>
      </c>
      <c r="C321" s="49" t="s">
        <v>22</v>
      </c>
      <c r="D321" s="19" t="n">
        <v>279752.2008</v>
      </c>
      <c r="E321" s="21" t="n">
        <v>38.85447234</v>
      </c>
      <c r="F321" s="21" t="n">
        <v>0</v>
      </c>
    </row>
    <row r="322" customFormat="false" ht="15" hidden="false" customHeight="false" outlineLevel="0" collapsed="false">
      <c r="A322" s="48" t="n">
        <v>46283</v>
      </c>
      <c r="B322" s="49" t="s">
        <v>108</v>
      </c>
      <c r="C322" s="49" t="s">
        <v>55</v>
      </c>
      <c r="D322" s="19" t="n">
        <v>349690.2511</v>
      </c>
      <c r="E322" s="21" t="n">
        <v>24.97787508</v>
      </c>
      <c r="F322" s="21" t="n">
        <v>0</v>
      </c>
    </row>
    <row r="323" customFormat="false" ht="15" hidden="false" customHeight="false" outlineLevel="0" collapsed="false">
      <c r="A323" s="48" t="n">
        <v>46283</v>
      </c>
      <c r="B323" s="49" t="s">
        <v>108</v>
      </c>
      <c r="C323" s="49" t="s">
        <v>56</v>
      </c>
      <c r="D323" s="19" t="n">
        <v>147857.19545</v>
      </c>
      <c r="E323" s="21" t="n">
        <v>18.48214943</v>
      </c>
      <c r="F323" s="21" t="n">
        <v>0</v>
      </c>
    </row>
    <row r="324" customFormat="false" ht="15" hidden="false" customHeight="false" outlineLevel="0" collapsed="false">
      <c r="A324" s="48" t="n">
        <v>46283</v>
      </c>
      <c r="B324" s="49" t="s">
        <v>108</v>
      </c>
      <c r="C324" s="49" t="s">
        <v>57</v>
      </c>
      <c r="D324" s="19" t="n">
        <v>2303782.789</v>
      </c>
      <c r="E324" s="21" t="n">
        <v>148.6311477</v>
      </c>
      <c r="F324" s="21" t="n">
        <v>0</v>
      </c>
    </row>
    <row r="325" customFormat="false" ht="15" hidden="false" customHeight="false" outlineLevel="0" collapsed="false">
      <c r="A325" s="48" t="n">
        <v>46283</v>
      </c>
      <c r="B325" s="49" t="s">
        <v>108</v>
      </c>
      <c r="C325" s="49" t="s">
        <v>58</v>
      </c>
      <c r="D325" s="19" t="n">
        <v>821428.8635</v>
      </c>
      <c r="E325" s="21" t="n">
        <v>157.96708915</v>
      </c>
      <c r="F325" s="21" t="n">
        <v>0</v>
      </c>
    </row>
    <row r="326" customFormat="false" ht="15" hidden="false" customHeight="false" outlineLevel="0" collapsed="false">
      <c r="A326" s="48" t="n">
        <v>46284</v>
      </c>
      <c r="B326" s="49" t="s">
        <v>26</v>
      </c>
      <c r="C326" s="49" t="s">
        <v>52</v>
      </c>
      <c r="D326" s="19" t="n">
        <v>132086.8115</v>
      </c>
      <c r="E326" s="21" t="n">
        <v>16.51085144</v>
      </c>
      <c r="F326" s="21" t="n">
        <v>1.651085144</v>
      </c>
    </row>
    <row r="327" customFormat="false" ht="15" hidden="false" customHeight="false" outlineLevel="0" collapsed="false">
      <c r="A327" s="48" t="n">
        <v>46284</v>
      </c>
      <c r="B327" s="49" t="s">
        <v>26</v>
      </c>
      <c r="C327" s="49" t="s">
        <v>53</v>
      </c>
      <c r="D327" s="19" t="n">
        <v>14341.84757</v>
      </c>
      <c r="E327" s="21" t="n">
        <v>1.195153964</v>
      </c>
      <c r="F327" s="21" t="n">
        <v>0</v>
      </c>
    </row>
    <row r="328" customFormat="false" ht="15" hidden="false" customHeight="false" outlineLevel="0" collapsed="false">
      <c r="A328" s="48" t="n">
        <v>46284</v>
      </c>
      <c r="B328" s="49" t="s">
        <v>26</v>
      </c>
      <c r="C328" s="49" t="s">
        <v>22</v>
      </c>
      <c r="D328" s="19" t="n">
        <v>326820.5108</v>
      </c>
      <c r="E328" s="21" t="n">
        <v>34.40215903</v>
      </c>
      <c r="F328" s="21" t="n">
        <v>3.631339009</v>
      </c>
    </row>
    <row r="329" customFormat="false" ht="15" hidden="false" customHeight="false" outlineLevel="0" collapsed="false">
      <c r="A329" s="48" t="n">
        <v>46284</v>
      </c>
      <c r="B329" s="49" t="s">
        <v>26</v>
      </c>
      <c r="C329" s="49" t="s">
        <v>55</v>
      </c>
      <c r="D329" s="19" t="n">
        <v>754781.7801</v>
      </c>
      <c r="E329" s="21" t="n">
        <v>50.31878534</v>
      </c>
      <c r="F329" s="21" t="n">
        <v>7.547817801</v>
      </c>
    </row>
    <row r="330" customFormat="false" ht="15" hidden="false" customHeight="false" outlineLevel="0" collapsed="false">
      <c r="A330" s="48" t="n">
        <v>46284</v>
      </c>
      <c r="B330" s="49" t="s">
        <v>26</v>
      </c>
      <c r="C330" s="49" t="s">
        <v>56</v>
      </c>
      <c r="D330" s="19" t="n">
        <v>129076.6281</v>
      </c>
      <c r="E330" s="21" t="n">
        <v>16.134578515</v>
      </c>
      <c r="F330" s="21" t="n">
        <v>0</v>
      </c>
    </row>
    <row r="331" customFormat="false" ht="15" hidden="false" customHeight="false" outlineLevel="0" collapsed="false">
      <c r="A331" s="48" t="n">
        <v>46284</v>
      </c>
      <c r="B331" s="49" t="s">
        <v>26</v>
      </c>
      <c r="C331" s="49" t="s">
        <v>57</v>
      </c>
      <c r="D331" s="19" t="n">
        <v>4528690.681</v>
      </c>
      <c r="E331" s="21" t="n">
        <v>238.3521411</v>
      </c>
      <c r="F331" s="21" t="n">
        <v>69.67216432</v>
      </c>
    </row>
    <row r="332" customFormat="false" ht="15" hidden="false" customHeight="false" outlineLevel="0" collapsed="false">
      <c r="A332" s="48" t="n">
        <v>46284</v>
      </c>
      <c r="B332" s="49" t="s">
        <v>26</v>
      </c>
      <c r="C332" s="49" t="s">
        <v>58</v>
      </c>
      <c r="D332" s="19" t="n">
        <v>717092.3785</v>
      </c>
      <c r="E332" s="21" t="n">
        <v>137.90238045</v>
      </c>
      <c r="F332" s="21" t="n">
        <v>0</v>
      </c>
    </row>
    <row r="333" customFormat="false" ht="15" hidden="false" customHeight="false" outlineLevel="0" collapsed="false">
      <c r="A333" s="48" t="n">
        <v>46284</v>
      </c>
      <c r="B333" s="49" t="s">
        <v>27</v>
      </c>
      <c r="C333" s="49" t="s">
        <v>53</v>
      </c>
      <c r="D333" s="19" t="n">
        <v>28683.69514</v>
      </c>
      <c r="E333" s="21" t="n">
        <v>2.390307928</v>
      </c>
      <c r="F333" s="21" t="n">
        <v>0</v>
      </c>
    </row>
    <row r="334" customFormat="false" ht="15" hidden="false" customHeight="false" outlineLevel="0" collapsed="false">
      <c r="A334" s="48" t="n">
        <v>46284</v>
      </c>
      <c r="B334" s="49" t="s">
        <v>27</v>
      </c>
      <c r="C334" s="49" t="s">
        <v>56</v>
      </c>
      <c r="D334" s="19" t="n">
        <v>258153.2562</v>
      </c>
      <c r="E334" s="21" t="n">
        <v>32.26915703</v>
      </c>
      <c r="F334" s="21" t="n">
        <v>0</v>
      </c>
    </row>
    <row r="335" customFormat="false" ht="15" hidden="false" customHeight="false" outlineLevel="0" collapsed="false">
      <c r="A335" s="48" t="n">
        <v>46284</v>
      </c>
      <c r="B335" s="49" t="s">
        <v>27</v>
      </c>
      <c r="C335" s="49" t="s">
        <v>58</v>
      </c>
      <c r="D335" s="19" t="n">
        <v>1434184.757</v>
      </c>
      <c r="E335" s="21" t="n">
        <v>275.8047609</v>
      </c>
      <c r="F335" s="21" t="n">
        <v>0</v>
      </c>
    </row>
    <row r="336" customFormat="false" ht="15" hidden="false" customHeight="false" outlineLevel="0" collapsed="false">
      <c r="A336" s="48" t="n">
        <v>46284</v>
      </c>
      <c r="B336" s="49" t="s">
        <v>108</v>
      </c>
      <c r="C336" s="49" t="s">
        <v>52</v>
      </c>
      <c r="D336" s="19" t="n">
        <v>49070.75318</v>
      </c>
      <c r="E336" s="21" t="n">
        <v>7.010107597</v>
      </c>
      <c r="F336" s="21" t="n">
        <v>0</v>
      </c>
    </row>
    <row r="337" customFormat="false" ht="15" hidden="false" customHeight="false" outlineLevel="0" collapsed="false">
      <c r="A337" s="48" t="n">
        <v>46284</v>
      </c>
      <c r="B337" s="49" t="s">
        <v>108</v>
      </c>
      <c r="C337" s="49" t="s">
        <v>53</v>
      </c>
      <c r="D337" s="19" t="n">
        <v>14341.84757</v>
      </c>
      <c r="E337" s="21" t="n">
        <v>1.195153964</v>
      </c>
      <c r="F337" s="21" t="n">
        <v>0</v>
      </c>
    </row>
    <row r="338" customFormat="false" ht="15" hidden="false" customHeight="false" outlineLevel="0" collapsed="false">
      <c r="A338" s="48" t="n">
        <v>46284</v>
      </c>
      <c r="B338" s="49" t="s">
        <v>108</v>
      </c>
      <c r="C338" s="49" t="s">
        <v>54</v>
      </c>
      <c r="D338" s="19" t="n">
        <v>49070.75318</v>
      </c>
      <c r="E338" s="21" t="n">
        <v>6.719259644</v>
      </c>
      <c r="F338" s="21" t="n">
        <v>0</v>
      </c>
    </row>
    <row r="339" customFormat="false" ht="15" hidden="false" customHeight="false" outlineLevel="0" collapsed="false">
      <c r="A339" s="48" t="n">
        <v>46284</v>
      </c>
      <c r="B339" s="49" t="s">
        <v>108</v>
      </c>
      <c r="C339" s="49" t="s">
        <v>22</v>
      </c>
      <c r="D339" s="19" t="n">
        <v>196283.0127</v>
      </c>
      <c r="E339" s="21" t="n">
        <v>27.26152954</v>
      </c>
      <c r="F339" s="21" t="n">
        <v>0</v>
      </c>
    </row>
    <row r="340" customFormat="false" ht="15" hidden="false" customHeight="false" outlineLevel="0" collapsed="false">
      <c r="A340" s="48" t="n">
        <v>46284</v>
      </c>
      <c r="B340" s="49" t="s">
        <v>108</v>
      </c>
      <c r="C340" s="49" t="s">
        <v>55</v>
      </c>
      <c r="D340" s="19" t="n">
        <v>245353.7659</v>
      </c>
      <c r="E340" s="21" t="n">
        <v>17.52526899</v>
      </c>
      <c r="F340" s="21" t="n">
        <v>0</v>
      </c>
    </row>
    <row r="341" customFormat="false" ht="15" hidden="false" customHeight="false" outlineLevel="0" collapsed="false">
      <c r="A341" s="48" t="n">
        <v>46284</v>
      </c>
      <c r="B341" s="49" t="s">
        <v>108</v>
      </c>
      <c r="C341" s="49" t="s">
        <v>56</v>
      </c>
      <c r="D341" s="19" t="n">
        <v>129076.6281</v>
      </c>
      <c r="E341" s="21" t="n">
        <v>16.134578515</v>
      </c>
      <c r="F341" s="21" t="n">
        <v>0</v>
      </c>
    </row>
    <row r="342" customFormat="false" ht="15" hidden="false" customHeight="false" outlineLevel="0" collapsed="false">
      <c r="A342" s="48" t="n">
        <v>46284</v>
      </c>
      <c r="B342" s="49" t="s">
        <v>108</v>
      </c>
      <c r="C342" s="49" t="s">
        <v>57</v>
      </c>
      <c r="D342" s="19" t="n">
        <v>1616407.039</v>
      </c>
      <c r="E342" s="21" t="n">
        <v>104.2843251</v>
      </c>
      <c r="F342" s="21" t="n">
        <v>0</v>
      </c>
    </row>
    <row r="343" customFormat="false" ht="15" hidden="false" customHeight="false" outlineLevel="0" collapsed="false">
      <c r="A343" s="48" t="n">
        <v>46284</v>
      </c>
      <c r="B343" s="49" t="s">
        <v>108</v>
      </c>
      <c r="C343" s="49" t="s">
        <v>58</v>
      </c>
      <c r="D343" s="19" t="n">
        <v>717092.3785</v>
      </c>
      <c r="E343" s="21" t="n">
        <v>137.90238045</v>
      </c>
      <c r="F343" s="21" t="n">
        <v>0</v>
      </c>
    </row>
    <row r="344" customFormat="false" ht="15" hidden="false" customHeight="false" outlineLevel="0" collapsed="false">
      <c r="A344" s="48" t="n">
        <v>46285</v>
      </c>
      <c r="B344" s="49" t="s">
        <v>26</v>
      </c>
      <c r="C344" s="49" t="s">
        <v>52</v>
      </c>
      <c r="D344" s="19" t="n">
        <v>132086.8115</v>
      </c>
      <c r="E344" s="21" t="n">
        <v>16.51085144</v>
      </c>
      <c r="F344" s="21" t="n">
        <v>1.651085144</v>
      </c>
    </row>
    <row r="345" customFormat="false" ht="15" hidden="false" customHeight="false" outlineLevel="0" collapsed="false">
      <c r="A345" s="48" t="n">
        <v>46285</v>
      </c>
      <c r="B345" s="49" t="s">
        <v>26</v>
      </c>
      <c r="C345" s="49" t="s">
        <v>53</v>
      </c>
      <c r="D345" s="19" t="n">
        <v>14341.84757</v>
      </c>
      <c r="E345" s="21" t="n">
        <v>1.195153964</v>
      </c>
      <c r="F345" s="21" t="n">
        <v>0</v>
      </c>
    </row>
    <row r="346" customFormat="false" ht="15" hidden="false" customHeight="false" outlineLevel="0" collapsed="false">
      <c r="A346" s="48" t="n">
        <v>46285</v>
      </c>
      <c r="B346" s="49" t="s">
        <v>26</v>
      </c>
      <c r="C346" s="49" t="s">
        <v>22</v>
      </c>
      <c r="D346" s="19" t="n">
        <v>326820.5108</v>
      </c>
      <c r="E346" s="21" t="n">
        <v>34.40215903</v>
      </c>
      <c r="F346" s="21" t="n">
        <v>3.631339009</v>
      </c>
    </row>
    <row r="347" customFormat="false" ht="15" hidden="false" customHeight="false" outlineLevel="0" collapsed="false">
      <c r="A347" s="48" t="n">
        <v>46285</v>
      </c>
      <c r="B347" s="49" t="s">
        <v>26</v>
      </c>
      <c r="C347" s="49" t="s">
        <v>55</v>
      </c>
      <c r="D347" s="19" t="n">
        <v>754781.7801</v>
      </c>
      <c r="E347" s="21" t="n">
        <v>50.31878534</v>
      </c>
      <c r="F347" s="21" t="n">
        <v>7.547817801</v>
      </c>
    </row>
    <row r="348" customFormat="false" ht="15" hidden="false" customHeight="false" outlineLevel="0" collapsed="false">
      <c r="A348" s="48" t="n">
        <v>46285</v>
      </c>
      <c r="B348" s="49" t="s">
        <v>26</v>
      </c>
      <c r="C348" s="49" t="s">
        <v>56</v>
      </c>
      <c r="D348" s="19" t="n">
        <v>129076.6281</v>
      </c>
      <c r="E348" s="21" t="n">
        <v>16.134578515</v>
      </c>
      <c r="F348" s="21" t="n">
        <v>0</v>
      </c>
    </row>
    <row r="349" customFormat="false" ht="15" hidden="false" customHeight="false" outlineLevel="0" collapsed="false">
      <c r="A349" s="48" t="n">
        <v>46285</v>
      </c>
      <c r="B349" s="49" t="s">
        <v>26</v>
      </c>
      <c r="C349" s="49" t="s">
        <v>57</v>
      </c>
      <c r="D349" s="19" t="n">
        <v>4528690.681</v>
      </c>
      <c r="E349" s="21" t="n">
        <v>238.3521411</v>
      </c>
      <c r="F349" s="21" t="n">
        <v>69.67216432</v>
      </c>
    </row>
    <row r="350" customFormat="false" ht="15" hidden="false" customHeight="false" outlineLevel="0" collapsed="false">
      <c r="A350" s="48" t="n">
        <v>46285</v>
      </c>
      <c r="B350" s="49" t="s">
        <v>26</v>
      </c>
      <c r="C350" s="49" t="s">
        <v>58</v>
      </c>
      <c r="D350" s="19" t="n">
        <v>717092.3785</v>
      </c>
      <c r="E350" s="21" t="n">
        <v>137.90238045</v>
      </c>
      <c r="F350" s="21" t="n">
        <v>0</v>
      </c>
    </row>
    <row r="351" customFormat="false" ht="15" hidden="false" customHeight="false" outlineLevel="0" collapsed="false">
      <c r="A351" s="48" t="n">
        <v>46285</v>
      </c>
      <c r="B351" s="49" t="s">
        <v>27</v>
      </c>
      <c r="C351" s="49" t="s">
        <v>53</v>
      </c>
      <c r="D351" s="19" t="n">
        <v>28683.69514</v>
      </c>
      <c r="E351" s="21" t="n">
        <v>2.390307928</v>
      </c>
      <c r="F351" s="21" t="n">
        <v>0</v>
      </c>
    </row>
    <row r="352" customFormat="false" ht="15" hidden="false" customHeight="false" outlineLevel="0" collapsed="false">
      <c r="A352" s="48" t="n">
        <v>46285</v>
      </c>
      <c r="B352" s="49" t="s">
        <v>27</v>
      </c>
      <c r="C352" s="49" t="s">
        <v>56</v>
      </c>
      <c r="D352" s="19" t="n">
        <v>258153.2562</v>
      </c>
      <c r="E352" s="21" t="n">
        <v>32.26915703</v>
      </c>
      <c r="F352" s="21" t="n">
        <v>0</v>
      </c>
    </row>
    <row r="353" customFormat="false" ht="15" hidden="false" customHeight="false" outlineLevel="0" collapsed="false">
      <c r="A353" s="48" t="n">
        <v>46285</v>
      </c>
      <c r="B353" s="49" t="s">
        <v>27</v>
      </c>
      <c r="C353" s="49" t="s">
        <v>58</v>
      </c>
      <c r="D353" s="19" t="n">
        <v>1434184.757</v>
      </c>
      <c r="E353" s="21" t="n">
        <v>275.8047609</v>
      </c>
      <c r="F353" s="21" t="n">
        <v>0</v>
      </c>
    </row>
    <row r="354" customFormat="false" ht="15" hidden="false" customHeight="false" outlineLevel="0" collapsed="false">
      <c r="A354" s="48" t="n">
        <v>46285</v>
      </c>
      <c r="B354" s="49" t="s">
        <v>108</v>
      </c>
      <c r="C354" s="49" t="s">
        <v>52</v>
      </c>
      <c r="D354" s="19" t="n">
        <v>49070.75318</v>
      </c>
      <c r="E354" s="21" t="n">
        <v>7.010107597</v>
      </c>
      <c r="F354" s="21" t="n">
        <v>0</v>
      </c>
    </row>
    <row r="355" customFormat="false" ht="15" hidden="false" customHeight="false" outlineLevel="0" collapsed="false">
      <c r="A355" s="48" t="n">
        <v>46285</v>
      </c>
      <c r="B355" s="49" t="s">
        <v>108</v>
      </c>
      <c r="C355" s="49" t="s">
        <v>53</v>
      </c>
      <c r="D355" s="19" t="n">
        <v>14341.84757</v>
      </c>
      <c r="E355" s="21" t="n">
        <v>1.195153964</v>
      </c>
      <c r="F355" s="21" t="n">
        <v>0</v>
      </c>
    </row>
    <row r="356" customFormat="false" ht="15" hidden="false" customHeight="false" outlineLevel="0" collapsed="false">
      <c r="A356" s="48" t="n">
        <v>46285</v>
      </c>
      <c r="B356" s="49" t="s">
        <v>108</v>
      </c>
      <c r="C356" s="49" t="s">
        <v>54</v>
      </c>
      <c r="D356" s="19" t="n">
        <v>49070.75318</v>
      </c>
      <c r="E356" s="21" t="n">
        <v>6.719259644</v>
      </c>
      <c r="F356" s="21" t="n">
        <v>0</v>
      </c>
    </row>
    <row r="357" customFormat="false" ht="15" hidden="false" customHeight="false" outlineLevel="0" collapsed="false">
      <c r="A357" s="48" t="n">
        <v>46285</v>
      </c>
      <c r="B357" s="49" t="s">
        <v>108</v>
      </c>
      <c r="C357" s="49" t="s">
        <v>22</v>
      </c>
      <c r="D357" s="19" t="n">
        <v>196283.0127</v>
      </c>
      <c r="E357" s="21" t="n">
        <v>27.26152954</v>
      </c>
      <c r="F357" s="21" t="n">
        <v>0</v>
      </c>
    </row>
    <row r="358" customFormat="false" ht="15" hidden="false" customHeight="false" outlineLevel="0" collapsed="false">
      <c r="A358" s="48" t="n">
        <v>46285</v>
      </c>
      <c r="B358" s="49" t="s">
        <v>108</v>
      </c>
      <c r="C358" s="49" t="s">
        <v>55</v>
      </c>
      <c r="D358" s="19" t="n">
        <v>245353.7659</v>
      </c>
      <c r="E358" s="21" t="n">
        <v>17.52526899</v>
      </c>
      <c r="F358" s="21" t="n">
        <v>0</v>
      </c>
    </row>
    <row r="359" customFormat="false" ht="15" hidden="false" customHeight="false" outlineLevel="0" collapsed="false">
      <c r="A359" s="48" t="n">
        <v>46285</v>
      </c>
      <c r="B359" s="49" t="s">
        <v>108</v>
      </c>
      <c r="C359" s="49" t="s">
        <v>56</v>
      </c>
      <c r="D359" s="19" t="n">
        <v>129076.6281</v>
      </c>
      <c r="E359" s="21" t="n">
        <v>16.134578515</v>
      </c>
      <c r="F359" s="21" t="n">
        <v>0</v>
      </c>
    </row>
    <row r="360" customFormat="false" ht="15" hidden="false" customHeight="false" outlineLevel="0" collapsed="false">
      <c r="A360" s="48" t="n">
        <v>46285</v>
      </c>
      <c r="B360" s="49" t="s">
        <v>108</v>
      </c>
      <c r="C360" s="49" t="s">
        <v>57</v>
      </c>
      <c r="D360" s="19" t="n">
        <v>1616407.039</v>
      </c>
      <c r="E360" s="21" t="n">
        <v>104.2843251</v>
      </c>
      <c r="F360" s="21" t="n">
        <v>0</v>
      </c>
    </row>
    <row r="361" customFormat="false" ht="15" hidden="false" customHeight="false" outlineLevel="0" collapsed="false">
      <c r="A361" s="48" t="n">
        <v>46285</v>
      </c>
      <c r="B361" s="49" t="s">
        <v>108</v>
      </c>
      <c r="C361" s="49" t="s">
        <v>58</v>
      </c>
      <c r="D361" s="19" t="n">
        <v>717092.3785</v>
      </c>
      <c r="E361" s="21" t="n">
        <v>137.90238045</v>
      </c>
      <c r="F361" s="21" t="n">
        <v>0</v>
      </c>
    </row>
    <row r="362" customFormat="false" ht="15" hidden="false" customHeight="false" outlineLevel="0" collapsed="false">
      <c r="A362" s="48" t="n">
        <v>46286</v>
      </c>
      <c r="B362" s="49" t="s">
        <v>26</v>
      </c>
      <c r="C362" s="49" t="s">
        <v>52</v>
      </c>
      <c r="D362" s="19" t="n">
        <v>301736.7722</v>
      </c>
      <c r="E362" s="21" t="n">
        <v>37.71709653</v>
      </c>
      <c r="F362" s="21" t="n">
        <v>3.771709653</v>
      </c>
    </row>
    <row r="363" customFormat="false" ht="15" hidden="false" customHeight="false" outlineLevel="0" collapsed="false">
      <c r="A363" s="48" t="n">
        <v>46286</v>
      </c>
      <c r="B363" s="49" t="s">
        <v>26</v>
      </c>
      <c r="C363" s="49" t="s">
        <v>53</v>
      </c>
      <c r="D363" s="19" t="n">
        <v>47636.74788</v>
      </c>
      <c r="E363" s="21" t="n">
        <v>3.96972899</v>
      </c>
      <c r="F363" s="21" t="n">
        <v>0</v>
      </c>
    </row>
    <row r="364" customFormat="false" ht="15" hidden="false" customHeight="false" outlineLevel="0" collapsed="false">
      <c r="A364" s="48" t="n">
        <v>46286</v>
      </c>
      <c r="B364" s="49" t="s">
        <v>26</v>
      </c>
      <c r="C364" s="49" t="s">
        <v>22</v>
      </c>
      <c r="D364" s="19" t="n">
        <v>746582.985</v>
      </c>
      <c r="E364" s="21" t="n">
        <v>78.58768263</v>
      </c>
      <c r="F364" s="21" t="n">
        <v>8.2953665</v>
      </c>
    </row>
    <row r="365" customFormat="false" ht="15" hidden="false" customHeight="false" outlineLevel="0" collapsed="false">
      <c r="A365" s="48" t="n">
        <v>46286</v>
      </c>
      <c r="B365" s="49" t="s">
        <v>26</v>
      </c>
      <c r="C365" s="49" t="s">
        <v>55</v>
      </c>
      <c r="D365" s="19" t="n">
        <v>1724210.127</v>
      </c>
      <c r="E365" s="21" t="n">
        <v>114.9473418</v>
      </c>
      <c r="F365" s="21" t="n">
        <v>17.24210127</v>
      </c>
    </row>
    <row r="366" customFormat="false" ht="15" hidden="false" customHeight="false" outlineLevel="0" collapsed="false">
      <c r="A366" s="48" t="n">
        <v>46286</v>
      </c>
      <c r="B366" s="49" t="s">
        <v>26</v>
      </c>
      <c r="C366" s="49" t="s">
        <v>56</v>
      </c>
      <c r="D366" s="19" t="n">
        <v>428730.7309</v>
      </c>
      <c r="E366" s="21" t="n">
        <v>53.59134135</v>
      </c>
      <c r="F366" s="21" t="n">
        <v>0</v>
      </c>
    </row>
    <row r="367" customFormat="false" ht="15" hidden="false" customHeight="false" outlineLevel="0" collapsed="false">
      <c r="A367" s="48" t="n">
        <v>46286</v>
      </c>
      <c r="B367" s="49" t="s">
        <v>26</v>
      </c>
      <c r="C367" s="49" t="s">
        <v>57</v>
      </c>
      <c r="D367" s="19" t="n">
        <v>10345260.76</v>
      </c>
      <c r="E367" s="21" t="n">
        <v>544.4874085</v>
      </c>
      <c r="F367" s="21" t="n">
        <v>159.1578579</v>
      </c>
    </row>
    <row r="368" customFormat="false" ht="15" hidden="false" customHeight="false" outlineLevel="0" collapsed="false">
      <c r="A368" s="48" t="n">
        <v>46286</v>
      </c>
      <c r="B368" s="49" t="s">
        <v>26</v>
      </c>
      <c r="C368" s="49" t="s">
        <v>58</v>
      </c>
      <c r="D368" s="19" t="n">
        <v>2381837.394</v>
      </c>
      <c r="E368" s="21" t="n">
        <v>458.0456527</v>
      </c>
      <c r="F368" s="21" t="n">
        <v>0</v>
      </c>
    </row>
    <row r="369" customFormat="false" ht="15" hidden="false" customHeight="false" outlineLevel="0" collapsed="false">
      <c r="A369" s="48" t="n">
        <v>46286</v>
      </c>
      <c r="B369" s="49" t="s">
        <v>27</v>
      </c>
      <c r="C369" s="49" t="s">
        <v>53</v>
      </c>
      <c r="D369" s="19" t="n">
        <v>95273.49576</v>
      </c>
      <c r="E369" s="21" t="n">
        <v>7.93945798</v>
      </c>
      <c r="F369" s="21" t="n">
        <v>0</v>
      </c>
    </row>
    <row r="370" customFormat="false" ht="15" hidden="false" customHeight="false" outlineLevel="0" collapsed="false">
      <c r="A370" s="48" t="n">
        <v>46286</v>
      </c>
      <c r="B370" s="49" t="s">
        <v>27</v>
      </c>
      <c r="C370" s="49" t="s">
        <v>56</v>
      </c>
      <c r="D370" s="19" t="n">
        <v>857461.4618</v>
      </c>
      <c r="E370" s="21" t="n">
        <v>107.1826827</v>
      </c>
      <c r="F370" s="21" t="n">
        <v>0</v>
      </c>
    </row>
    <row r="371" customFormat="false" ht="15" hidden="false" customHeight="false" outlineLevel="0" collapsed="false">
      <c r="A371" s="48" t="n">
        <v>46286</v>
      </c>
      <c r="B371" s="49" t="s">
        <v>27</v>
      </c>
      <c r="C371" s="49" t="s">
        <v>58</v>
      </c>
      <c r="D371" s="19" t="n">
        <v>4763674.788</v>
      </c>
      <c r="E371" s="21" t="n">
        <v>916.0913054</v>
      </c>
      <c r="F371" s="21" t="n">
        <v>0</v>
      </c>
    </row>
    <row r="372" customFormat="false" ht="15" hidden="false" customHeight="false" outlineLevel="0" collapsed="false">
      <c r="A372" s="48" t="n">
        <v>46286</v>
      </c>
      <c r="B372" s="49" t="s">
        <v>108</v>
      </c>
      <c r="C372" s="49" t="s">
        <v>52</v>
      </c>
      <c r="D372" s="19" t="n">
        <v>260841.2129</v>
      </c>
      <c r="E372" s="21" t="n">
        <v>37.26303042</v>
      </c>
      <c r="F372" s="21" t="n">
        <v>0</v>
      </c>
    </row>
    <row r="373" customFormat="false" ht="15" hidden="false" customHeight="false" outlineLevel="0" collapsed="false">
      <c r="A373" s="48" t="n">
        <v>46286</v>
      </c>
      <c r="B373" s="49" t="s">
        <v>108</v>
      </c>
      <c r="C373" s="49" t="s">
        <v>53</v>
      </c>
      <c r="D373" s="19" t="n">
        <v>47636.74788</v>
      </c>
      <c r="E373" s="21" t="n">
        <v>3.96972899</v>
      </c>
      <c r="F373" s="21" t="n">
        <v>0</v>
      </c>
    </row>
    <row r="374" customFormat="false" ht="15" hidden="false" customHeight="false" outlineLevel="0" collapsed="false">
      <c r="A374" s="48" t="n">
        <v>46286</v>
      </c>
      <c r="B374" s="49" t="s">
        <v>108</v>
      </c>
      <c r="C374" s="49" t="s">
        <v>54</v>
      </c>
      <c r="D374" s="19" t="n">
        <v>260841.2129</v>
      </c>
      <c r="E374" s="21" t="n">
        <v>35.71699478</v>
      </c>
      <c r="F374" s="21" t="n">
        <v>0</v>
      </c>
    </row>
    <row r="375" customFormat="false" ht="15" hidden="false" customHeight="false" outlineLevel="0" collapsed="false">
      <c r="A375" s="48" t="n">
        <v>46286</v>
      </c>
      <c r="B375" s="49" t="s">
        <v>108</v>
      </c>
      <c r="C375" s="49" t="s">
        <v>22</v>
      </c>
      <c r="D375" s="19" t="n">
        <v>1043364.852</v>
      </c>
      <c r="E375" s="21" t="n">
        <v>144.911785</v>
      </c>
      <c r="F375" s="21" t="n">
        <v>0</v>
      </c>
    </row>
    <row r="376" customFormat="false" ht="15" hidden="false" customHeight="false" outlineLevel="0" collapsed="false">
      <c r="A376" s="48" t="n">
        <v>46286</v>
      </c>
      <c r="B376" s="49" t="s">
        <v>108</v>
      </c>
      <c r="C376" s="49" t="s">
        <v>55</v>
      </c>
      <c r="D376" s="19" t="n">
        <v>1304206.065</v>
      </c>
      <c r="E376" s="21" t="n">
        <v>93.15757604</v>
      </c>
      <c r="F376" s="21" t="n">
        <v>0</v>
      </c>
    </row>
    <row r="377" customFormat="false" ht="15" hidden="false" customHeight="false" outlineLevel="0" collapsed="false">
      <c r="A377" s="48" t="n">
        <v>46286</v>
      </c>
      <c r="B377" s="49" t="s">
        <v>108</v>
      </c>
      <c r="C377" s="49" t="s">
        <v>56</v>
      </c>
      <c r="D377" s="19" t="n">
        <v>428730.7309</v>
      </c>
      <c r="E377" s="21" t="n">
        <v>53.59134135</v>
      </c>
      <c r="F377" s="21" t="n">
        <v>0</v>
      </c>
    </row>
    <row r="378" customFormat="false" ht="15" hidden="false" customHeight="false" outlineLevel="0" collapsed="false">
      <c r="A378" s="48" t="n">
        <v>46286</v>
      </c>
      <c r="B378" s="49" t="s">
        <v>108</v>
      </c>
      <c r="C378" s="49" t="s">
        <v>57</v>
      </c>
      <c r="D378" s="19" t="n">
        <v>8592196.883</v>
      </c>
      <c r="E378" s="21" t="n">
        <v>554.3352828</v>
      </c>
      <c r="F378" s="21" t="n">
        <v>0</v>
      </c>
    </row>
    <row r="379" customFormat="false" ht="15" hidden="false" customHeight="false" outlineLevel="0" collapsed="false">
      <c r="A379" s="48" t="n">
        <v>46286</v>
      </c>
      <c r="B379" s="49" t="s">
        <v>108</v>
      </c>
      <c r="C379" s="49" t="s">
        <v>58</v>
      </c>
      <c r="D379" s="19" t="n">
        <v>2381837.394</v>
      </c>
      <c r="E379" s="21" t="n">
        <v>458.0456527</v>
      </c>
      <c r="F379" s="21" t="n">
        <v>0</v>
      </c>
    </row>
    <row r="380" customFormat="false" ht="15" hidden="false" customHeight="false" outlineLevel="0" collapsed="false">
      <c r="A380" s="48" t="n">
        <v>46287</v>
      </c>
      <c r="B380" s="49" t="s">
        <v>26</v>
      </c>
      <c r="C380" s="49" t="s">
        <v>52</v>
      </c>
      <c r="D380" s="19" t="n">
        <v>254320.9937</v>
      </c>
      <c r="E380" s="21" t="n">
        <v>31.79012422</v>
      </c>
      <c r="F380" s="21" t="n">
        <v>3.179012422</v>
      </c>
    </row>
    <row r="381" customFormat="false" ht="15" hidden="false" customHeight="false" outlineLevel="0" collapsed="false">
      <c r="A381" s="48" t="n">
        <v>46287</v>
      </c>
      <c r="B381" s="49" t="s">
        <v>26</v>
      </c>
      <c r="C381" s="49" t="s">
        <v>53</v>
      </c>
      <c r="D381" s="19" t="n">
        <v>38250.55866</v>
      </c>
      <c r="E381" s="21" t="n">
        <v>3.187546555</v>
      </c>
      <c r="F381" s="21" t="n">
        <v>0</v>
      </c>
    </row>
    <row r="382" customFormat="false" ht="15" hidden="false" customHeight="false" outlineLevel="0" collapsed="false">
      <c r="A382" s="48" t="n">
        <v>46287</v>
      </c>
      <c r="B382" s="49" t="s">
        <v>26</v>
      </c>
      <c r="C382" s="49" t="s">
        <v>22</v>
      </c>
      <c r="D382" s="19" t="n">
        <v>629262.8016</v>
      </c>
      <c r="E382" s="21" t="n">
        <v>66.23818965</v>
      </c>
      <c r="F382" s="21" t="n">
        <v>6.991808907</v>
      </c>
    </row>
    <row r="383" customFormat="false" ht="15" hidden="false" customHeight="false" outlineLevel="0" collapsed="false">
      <c r="A383" s="48" t="n">
        <v>46287</v>
      </c>
      <c r="B383" s="49" t="s">
        <v>26</v>
      </c>
      <c r="C383" s="49" t="s">
        <v>55</v>
      </c>
      <c r="D383" s="19" t="n">
        <v>1453262.821</v>
      </c>
      <c r="E383" s="21" t="n">
        <v>96.88418809</v>
      </c>
      <c r="F383" s="21" t="n">
        <v>14.53262821</v>
      </c>
    </row>
    <row r="384" customFormat="false" ht="15" hidden="false" customHeight="false" outlineLevel="0" collapsed="false">
      <c r="A384" s="48" t="n">
        <v>46287</v>
      </c>
      <c r="B384" s="49" t="s">
        <v>26</v>
      </c>
      <c r="C384" s="49" t="s">
        <v>56</v>
      </c>
      <c r="D384" s="19" t="n">
        <v>344255.02795</v>
      </c>
      <c r="E384" s="21" t="n">
        <v>43.031878495</v>
      </c>
      <c r="F384" s="21" t="n">
        <v>0</v>
      </c>
    </row>
    <row r="385" customFormat="false" ht="15" hidden="false" customHeight="false" outlineLevel="0" collapsed="false">
      <c r="A385" s="48" t="n">
        <v>46287</v>
      </c>
      <c r="B385" s="49" t="s">
        <v>26</v>
      </c>
      <c r="C385" s="49" t="s">
        <v>57</v>
      </c>
      <c r="D385" s="19" t="n">
        <v>8719576.928</v>
      </c>
      <c r="E385" s="21" t="n">
        <v>458.9251015</v>
      </c>
      <c r="F385" s="21" t="n">
        <v>134.1473374</v>
      </c>
    </row>
    <row r="386" customFormat="false" ht="15" hidden="false" customHeight="false" outlineLevel="0" collapsed="false">
      <c r="A386" s="48" t="n">
        <v>46287</v>
      </c>
      <c r="B386" s="49" t="s">
        <v>26</v>
      </c>
      <c r="C386" s="49" t="s">
        <v>58</v>
      </c>
      <c r="D386" s="19" t="n">
        <v>1912527.933</v>
      </c>
      <c r="E386" s="21" t="n">
        <v>367.7938333</v>
      </c>
      <c r="F386" s="21" t="n">
        <v>0</v>
      </c>
    </row>
    <row r="387" customFormat="false" ht="15" hidden="false" customHeight="false" outlineLevel="0" collapsed="false">
      <c r="A387" s="48" t="n">
        <v>46287</v>
      </c>
      <c r="B387" s="49" t="s">
        <v>27</v>
      </c>
      <c r="C387" s="49" t="s">
        <v>53</v>
      </c>
      <c r="D387" s="19" t="n">
        <v>76501.11732</v>
      </c>
      <c r="E387" s="21" t="n">
        <v>6.37509311</v>
      </c>
      <c r="F387" s="21" t="n">
        <v>0</v>
      </c>
    </row>
    <row r="388" customFormat="false" ht="15" hidden="false" customHeight="false" outlineLevel="0" collapsed="false">
      <c r="A388" s="48" t="n">
        <v>46287</v>
      </c>
      <c r="B388" s="49" t="s">
        <v>27</v>
      </c>
      <c r="C388" s="49" t="s">
        <v>56</v>
      </c>
      <c r="D388" s="19" t="n">
        <v>688510.0559</v>
      </c>
      <c r="E388" s="21" t="n">
        <v>86.06375699</v>
      </c>
      <c r="F388" s="21" t="n">
        <v>0</v>
      </c>
    </row>
    <row r="389" customFormat="false" ht="15" hidden="false" customHeight="false" outlineLevel="0" collapsed="false">
      <c r="A389" s="48" t="n">
        <v>46287</v>
      </c>
      <c r="B389" s="49" t="s">
        <v>27</v>
      </c>
      <c r="C389" s="49" t="s">
        <v>58</v>
      </c>
      <c r="D389" s="19" t="n">
        <v>3825055.866</v>
      </c>
      <c r="E389" s="21" t="n">
        <v>735.5876666</v>
      </c>
      <c r="F389" s="21" t="n">
        <v>0</v>
      </c>
    </row>
    <row r="390" customFormat="false" ht="15" hidden="false" customHeight="false" outlineLevel="0" collapsed="false">
      <c r="A390" s="48" t="n">
        <v>46287</v>
      </c>
      <c r="B390" s="49" t="s">
        <v>108</v>
      </c>
      <c r="C390" s="49" t="s">
        <v>52</v>
      </c>
      <c r="D390" s="19" t="n">
        <v>200847.7339</v>
      </c>
      <c r="E390" s="21" t="n">
        <v>28.69253342</v>
      </c>
      <c r="F390" s="21" t="n">
        <v>0</v>
      </c>
    </row>
    <row r="391" customFormat="false" ht="15" hidden="false" customHeight="false" outlineLevel="0" collapsed="false">
      <c r="A391" s="48" t="n">
        <v>46287</v>
      </c>
      <c r="B391" s="49" t="s">
        <v>108</v>
      </c>
      <c r="C391" s="49" t="s">
        <v>53</v>
      </c>
      <c r="D391" s="19" t="n">
        <v>38250.55866</v>
      </c>
      <c r="E391" s="21" t="n">
        <v>3.187546555</v>
      </c>
      <c r="F391" s="21" t="n">
        <v>0</v>
      </c>
    </row>
    <row r="392" customFormat="false" ht="15" hidden="false" customHeight="false" outlineLevel="0" collapsed="false">
      <c r="A392" s="48" t="n">
        <v>46287</v>
      </c>
      <c r="B392" s="49" t="s">
        <v>108</v>
      </c>
      <c r="C392" s="49" t="s">
        <v>54</v>
      </c>
      <c r="D392" s="19" t="n">
        <v>200847.7339</v>
      </c>
      <c r="E392" s="21" t="n">
        <v>27.50208598</v>
      </c>
      <c r="F392" s="21" t="n">
        <v>0</v>
      </c>
    </row>
    <row r="393" customFormat="false" ht="15" hidden="false" customHeight="false" outlineLevel="0" collapsed="false">
      <c r="A393" s="48" t="n">
        <v>46287</v>
      </c>
      <c r="B393" s="49" t="s">
        <v>108</v>
      </c>
      <c r="C393" s="49" t="s">
        <v>22</v>
      </c>
      <c r="D393" s="19" t="n">
        <v>803390.9358</v>
      </c>
      <c r="E393" s="21" t="n">
        <v>111.5820744</v>
      </c>
      <c r="F393" s="21" t="n">
        <v>0</v>
      </c>
    </row>
    <row r="394" customFormat="false" ht="15" hidden="false" customHeight="false" outlineLevel="0" collapsed="false">
      <c r="A394" s="48" t="n">
        <v>46287</v>
      </c>
      <c r="B394" s="49" t="s">
        <v>108</v>
      </c>
      <c r="C394" s="49" t="s">
        <v>55</v>
      </c>
      <c r="D394" s="19" t="n">
        <v>1004238.67</v>
      </c>
      <c r="E394" s="21" t="n">
        <v>71.73133355</v>
      </c>
      <c r="F394" s="21" t="n">
        <v>0</v>
      </c>
    </row>
    <row r="395" customFormat="false" ht="15" hidden="false" customHeight="false" outlineLevel="0" collapsed="false">
      <c r="A395" s="48" t="n">
        <v>46287</v>
      </c>
      <c r="B395" s="49" t="s">
        <v>108</v>
      </c>
      <c r="C395" s="49" t="s">
        <v>56</v>
      </c>
      <c r="D395" s="19" t="n">
        <v>344255.02795</v>
      </c>
      <c r="E395" s="21" t="n">
        <v>43.031878495</v>
      </c>
      <c r="F395" s="21" t="n">
        <v>0</v>
      </c>
    </row>
    <row r="396" customFormat="false" ht="15" hidden="false" customHeight="false" outlineLevel="0" collapsed="false">
      <c r="A396" s="48" t="n">
        <v>46287</v>
      </c>
      <c r="B396" s="49" t="s">
        <v>108</v>
      </c>
      <c r="C396" s="49" t="s">
        <v>57</v>
      </c>
      <c r="D396" s="19" t="n">
        <v>6615991.6</v>
      </c>
      <c r="E396" s="21" t="n">
        <v>426.8381677</v>
      </c>
      <c r="F396" s="21" t="n">
        <v>0</v>
      </c>
    </row>
    <row r="397" customFormat="false" ht="15" hidden="false" customHeight="false" outlineLevel="0" collapsed="false">
      <c r="A397" s="48" t="n">
        <v>46287</v>
      </c>
      <c r="B397" s="49" t="s">
        <v>108</v>
      </c>
      <c r="C397" s="49" t="s">
        <v>58</v>
      </c>
      <c r="D397" s="19" t="n">
        <v>1912527.933</v>
      </c>
      <c r="E397" s="21" t="n">
        <v>367.7938333</v>
      </c>
      <c r="F397" s="21" t="n">
        <v>0</v>
      </c>
    </row>
    <row r="398" customFormat="false" ht="15" hidden="false" customHeight="false" outlineLevel="0" collapsed="false">
      <c r="A398" s="48" t="n">
        <v>46288</v>
      </c>
      <c r="B398" s="49" t="s">
        <v>26</v>
      </c>
      <c r="C398" s="49" t="s">
        <v>52</v>
      </c>
      <c r="D398" s="19" t="n">
        <v>224147.3165</v>
      </c>
      <c r="E398" s="21" t="n">
        <v>28.01841456</v>
      </c>
      <c r="F398" s="21" t="n">
        <v>2.801841456</v>
      </c>
    </row>
    <row r="399" customFormat="false" ht="15" hidden="false" customHeight="false" outlineLevel="0" collapsed="false">
      <c r="A399" s="48" t="n">
        <v>46288</v>
      </c>
      <c r="B399" s="49" t="s">
        <v>26</v>
      </c>
      <c r="C399" s="49" t="s">
        <v>53</v>
      </c>
      <c r="D399" s="19" t="n">
        <v>35117.141455</v>
      </c>
      <c r="E399" s="21" t="n">
        <v>2.9264284545</v>
      </c>
      <c r="F399" s="21" t="n">
        <v>0</v>
      </c>
    </row>
    <row r="400" customFormat="false" ht="15" hidden="false" customHeight="false" outlineLevel="0" collapsed="false">
      <c r="A400" s="48" t="n">
        <v>46288</v>
      </c>
      <c r="B400" s="49" t="s">
        <v>26</v>
      </c>
      <c r="C400" s="49" t="s">
        <v>22</v>
      </c>
      <c r="D400" s="19" t="n">
        <v>554604.5031</v>
      </c>
      <c r="E400" s="21" t="n">
        <v>58.37942138</v>
      </c>
      <c r="F400" s="21" t="n">
        <v>6.162272257</v>
      </c>
    </row>
    <row r="401" customFormat="false" ht="15" hidden="false" customHeight="false" outlineLevel="0" collapsed="false">
      <c r="A401" s="48" t="n">
        <v>46288</v>
      </c>
      <c r="B401" s="49" t="s">
        <v>26</v>
      </c>
      <c r="C401" s="49" t="s">
        <v>55</v>
      </c>
      <c r="D401" s="19" t="n">
        <v>1280841.809</v>
      </c>
      <c r="E401" s="21" t="n">
        <v>85.38945391</v>
      </c>
      <c r="F401" s="21" t="n">
        <v>12.80841809</v>
      </c>
    </row>
    <row r="402" customFormat="false" ht="15" hidden="false" customHeight="false" outlineLevel="0" collapsed="false">
      <c r="A402" s="48" t="n">
        <v>46288</v>
      </c>
      <c r="B402" s="49" t="s">
        <v>26</v>
      </c>
      <c r="C402" s="49" t="s">
        <v>56</v>
      </c>
      <c r="D402" s="19" t="n">
        <v>316054.2731</v>
      </c>
      <c r="E402" s="21" t="n">
        <v>39.506784135</v>
      </c>
      <c r="F402" s="21" t="n">
        <v>0</v>
      </c>
    </row>
    <row r="403" customFormat="false" ht="15" hidden="false" customHeight="false" outlineLevel="0" collapsed="false">
      <c r="A403" s="48" t="n">
        <v>46288</v>
      </c>
      <c r="B403" s="49" t="s">
        <v>26</v>
      </c>
      <c r="C403" s="49" t="s">
        <v>57</v>
      </c>
      <c r="D403" s="19" t="n">
        <v>7685050.852</v>
      </c>
      <c r="E403" s="21" t="n">
        <v>404.4763606</v>
      </c>
      <c r="F403" s="21" t="n">
        <v>118.2315516</v>
      </c>
    </row>
    <row r="404" customFormat="false" ht="15" hidden="false" customHeight="false" outlineLevel="0" collapsed="false">
      <c r="A404" s="48" t="n">
        <v>46288</v>
      </c>
      <c r="B404" s="49" t="s">
        <v>26</v>
      </c>
      <c r="C404" s="49" t="s">
        <v>58</v>
      </c>
      <c r="D404" s="19" t="n">
        <v>1755857.0725</v>
      </c>
      <c r="E404" s="21" t="n">
        <v>337.66482165</v>
      </c>
      <c r="F404" s="21" t="n">
        <v>0</v>
      </c>
    </row>
    <row r="405" customFormat="false" ht="15" hidden="false" customHeight="false" outlineLevel="0" collapsed="false">
      <c r="A405" s="48" t="n">
        <v>46288</v>
      </c>
      <c r="B405" s="49" t="s">
        <v>27</v>
      </c>
      <c r="C405" s="49" t="s">
        <v>53</v>
      </c>
      <c r="D405" s="19" t="n">
        <v>70234.28291</v>
      </c>
      <c r="E405" s="21" t="n">
        <v>5.852856909</v>
      </c>
      <c r="F405" s="21" t="n">
        <v>0</v>
      </c>
    </row>
    <row r="406" customFormat="false" ht="15" hidden="false" customHeight="false" outlineLevel="0" collapsed="false">
      <c r="A406" s="48" t="n">
        <v>46288</v>
      </c>
      <c r="B406" s="49" t="s">
        <v>27</v>
      </c>
      <c r="C406" s="49" t="s">
        <v>56</v>
      </c>
      <c r="D406" s="19" t="n">
        <v>632108.5462</v>
      </c>
      <c r="E406" s="21" t="n">
        <v>79.01356827</v>
      </c>
      <c r="F406" s="21" t="n">
        <v>0</v>
      </c>
    </row>
    <row r="407" customFormat="false" ht="15" hidden="false" customHeight="false" outlineLevel="0" collapsed="false">
      <c r="A407" s="48" t="n">
        <v>46288</v>
      </c>
      <c r="B407" s="49" t="s">
        <v>27</v>
      </c>
      <c r="C407" s="49" t="s">
        <v>58</v>
      </c>
      <c r="D407" s="19" t="n">
        <v>3511714.145</v>
      </c>
      <c r="E407" s="21" t="n">
        <v>675.3296433</v>
      </c>
      <c r="F407" s="21" t="n">
        <v>0</v>
      </c>
    </row>
    <row r="408" customFormat="false" ht="15" hidden="false" customHeight="false" outlineLevel="0" collapsed="false">
      <c r="A408" s="48" t="n">
        <v>46288</v>
      </c>
      <c r="B408" s="49" t="s">
        <v>108</v>
      </c>
      <c r="C408" s="49" t="s">
        <v>52</v>
      </c>
      <c r="D408" s="19" t="n">
        <v>191066.1885</v>
      </c>
      <c r="E408" s="21" t="n">
        <v>27.29516978</v>
      </c>
      <c r="F408" s="21" t="n">
        <v>0</v>
      </c>
    </row>
    <row r="409" customFormat="false" ht="15" hidden="false" customHeight="false" outlineLevel="0" collapsed="false">
      <c r="A409" s="48" t="n">
        <v>46288</v>
      </c>
      <c r="B409" s="49" t="s">
        <v>108</v>
      </c>
      <c r="C409" s="49" t="s">
        <v>53</v>
      </c>
      <c r="D409" s="19" t="n">
        <v>35117.141455</v>
      </c>
      <c r="E409" s="21" t="n">
        <v>2.9264284545</v>
      </c>
      <c r="F409" s="21" t="n">
        <v>0</v>
      </c>
    </row>
    <row r="410" customFormat="false" ht="15" hidden="false" customHeight="false" outlineLevel="0" collapsed="false">
      <c r="A410" s="48" t="n">
        <v>46288</v>
      </c>
      <c r="B410" s="49" t="s">
        <v>108</v>
      </c>
      <c r="C410" s="49" t="s">
        <v>54</v>
      </c>
      <c r="D410" s="19" t="n">
        <v>191066.1885</v>
      </c>
      <c r="E410" s="21" t="n">
        <v>26.16269868</v>
      </c>
      <c r="F410" s="21" t="n">
        <v>0</v>
      </c>
    </row>
    <row r="411" customFormat="false" ht="15" hidden="false" customHeight="false" outlineLevel="0" collapsed="false">
      <c r="A411" s="48" t="n">
        <v>46288</v>
      </c>
      <c r="B411" s="49" t="s">
        <v>108</v>
      </c>
      <c r="C411" s="49" t="s">
        <v>22</v>
      </c>
      <c r="D411" s="19" t="n">
        <v>764264.7538</v>
      </c>
      <c r="E411" s="21" t="n">
        <v>106.1478825</v>
      </c>
      <c r="F411" s="21" t="n">
        <v>0</v>
      </c>
    </row>
    <row r="412" customFormat="false" ht="15" hidden="false" customHeight="false" outlineLevel="0" collapsed="false">
      <c r="A412" s="48" t="n">
        <v>46288</v>
      </c>
      <c r="B412" s="49" t="s">
        <v>108</v>
      </c>
      <c r="C412" s="49" t="s">
        <v>55</v>
      </c>
      <c r="D412" s="19" t="n">
        <v>955330.9423</v>
      </c>
      <c r="E412" s="21" t="n">
        <v>68.23792445</v>
      </c>
      <c r="F412" s="21" t="n">
        <v>0</v>
      </c>
    </row>
    <row r="413" customFormat="false" ht="15" hidden="false" customHeight="false" outlineLevel="0" collapsed="false">
      <c r="A413" s="48" t="n">
        <v>46288</v>
      </c>
      <c r="B413" s="49" t="s">
        <v>108</v>
      </c>
      <c r="C413" s="49" t="s">
        <v>56</v>
      </c>
      <c r="D413" s="19" t="n">
        <v>316054.2731</v>
      </c>
      <c r="E413" s="21" t="n">
        <v>39.506784135</v>
      </c>
      <c r="F413" s="21" t="n">
        <v>0</v>
      </c>
    </row>
    <row r="414" customFormat="false" ht="15" hidden="false" customHeight="false" outlineLevel="0" collapsed="false">
      <c r="A414" s="48" t="n">
        <v>46288</v>
      </c>
      <c r="B414" s="49" t="s">
        <v>108</v>
      </c>
      <c r="C414" s="49" t="s">
        <v>57</v>
      </c>
      <c r="D414" s="19" t="n">
        <v>6293784.217</v>
      </c>
      <c r="E414" s="21" t="n">
        <v>406.0505946</v>
      </c>
      <c r="F414" s="21" t="n">
        <v>0</v>
      </c>
    </row>
    <row r="415" customFormat="false" ht="15" hidden="false" customHeight="false" outlineLevel="0" collapsed="false">
      <c r="A415" s="48" t="n">
        <v>46288</v>
      </c>
      <c r="B415" s="49" t="s">
        <v>108</v>
      </c>
      <c r="C415" s="49" t="s">
        <v>58</v>
      </c>
      <c r="D415" s="19" t="n">
        <v>1755857.0725</v>
      </c>
      <c r="E415" s="21" t="n">
        <v>337.66482165</v>
      </c>
      <c r="F415" s="21" t="n">
        <v>0</v>
      </c>
    </row>
    <row r="416" customFormat="false" ht="15" hidden="false" customHeight="false" outlineLevel="0" collapsed="false">
      <c r="A416" s="48" t="n">
        <v>46289</v>
      </c>
      <c r="B416" s="49" t="s">
        <v>26</v>
      </c>
      <c r="C416" s="49" t="s">
        <v>52</v>
      </c>
      <c r="D416" s="19" t="n">
        <v>225994.6845</v>
      </c>
      <c r="E416" s="21" t="n">
        <v>28.24933556</v>
      </c>
      <c r="F416" s="21" t="n">
        <v>2.824933556</v>
      </c>
    </row>
    <row r="417" customFormat="false" ht="15" hidden="false" customHeight="false" outlineLevel="0" collapsed="false">
      <c r="A417" s="48" t="n">
        <v>46289</v>
      </c>
      <c r="B417" s="49" t="s">
        <v>26</v>
      </c>
      <c r="C417" s="49" t="s">
        <v>53</v>
      </c>
      <c r="D417" s="19" t="n">
        <v>33488.418125</v>
      </c>
      <c r="E417" s="21" t="n">
        <v>2.7907015105</v>
      </c>
      <c r="F417" s="21" t="n">
        <v>0</v>
      </c>
    </row>
    <row r="418" customFormat="false" ht="15" hidden="false" customHeight="false" outlineLevel="0" collapsed="false">
      <c r="A418" s="48" t="n">
        <v>46289</v>
      </c>
      <c r="B418" s="49" t="s">
        <v>26</v>
      </c>
      <c r="C418" s="49" t="s">
        <v>22</v>
      </c>
      <c r="D418" s="19" t="n">
        <v>559175.4194</v>
      </c>
      <c r="E418" s="21" t="n">
        <v>58.86057046</v>
      </c>
      <c r="F418" s="21" t="n">
        <v>6.213060215</v>
      </c>
    </row>
    <row r="419" customFormat="false" ht="15" hidden="false" customHeight="false" outlineLevel="0" collapsed="false">
      <c r="A419" s="48" t="n">
        <v>46289</v>
      </c>
      <c r="B419" s="49" t="s">
        <v>26</v>
      </c>
      <c r="C419" s="49" t="s">
        <v>55</v>
      </c>
      <c r="D419" s="19" t="n">
        <v>1291398.197</v>
      </c>
      <c r="E419" s="21" t="n">
        <v>86.09321315</v>
      </c>
      <c r="F419" s="21" t="n">
        <v>12.91398197</v>
      </c>
    </row>
    <row r="420" customFormat="false" ht="15" hidden="false" customHeight="false" outlineLevel="0" collapsed="false">
      <c r="A420" s="48" t="n">
        <v>46289</v>
      </c>
      <c r="B420" s="49" t="s">
        <v>26</v>
      </c>
      <c r="C420" s="49" t="s">
        <v>56</v>
      </c>
      <c r="D420" s="19" t="n">
        <v>301395.7631</v>
      </c>
      <c r="E420" s="21" t="n">
        <v>37.67447039</v>
      </c>
      <c r="F420" s="21" t="n">
        <v>0</v>
      </c>
    </row>
    <row r="421" customFormat="false" ht="15" hidden="false" customHeight="false" outlineLevel="0" collapsed="false">
      <c r="A421" s="48" t="n">
        <v>46289</v>
      </c>
      <c r="B421" s="49" t="s">
        <v>26</v>
      </c>
      <c r="C421" s="49" t="s">
        <v>57</v>
      </c>
      <c r="D421" s="19" t="n">
        <v>7748389.183</v>
      </c>
      <c r="E421" s="21" t="n">
        <v>407.809957</v>
      </c>
      <c r="F421" s="21" t="n">
        <v>119.2059874</v>
      </c>
    </row>
    <row r="422" customFormat="false" ht="15" hidden="false" customHeight="false" outlineLevel="0" collapsed="false">
      <c r="A422" s="48" t="n">
        <v>46289</v>
      </c>
      <c r="B422" s="49" t="s">
        <v>26</v>
      </c>
      <c r="C422" s="49" t="s">
        <v>58</v>
      </c>
      <c r="D422" s="19" t="n">
        <v>1674420.906</v>
      </c>
      <c r="E422" s="21" t="n">
        <v>322.0040204</v>
      </c>
      <c r="F422" s="21" t="n">
        <v>0</v>
      </c>
    </row>
    <row r="423" customFormat="false" ht="15" hidden="false" customHeight="false" outlineLevel="0" collapsed="false">
      <c r="A423" s="48" t="n">
        <v>46289</v>
      </c>
      <c r="B423" s="49" t="s">
        <v>27</v>
      </c>
      <c r="C423" s="49" t="s">
        <v>53</v>
      </c>
      <c r="D423" s="19" t="n">
        <v>66976.83625</v>
      </c>
      <c r="E423" s="21" t="n">
        <v>5.581403021</v>
      </c>
      <c r="F423" s="21" t="n">
        <v>0</v>
      </c>
    </row>
    <row r="424" customFormat="false" ht="15" hidden="false" customHeight="false" outlineLevel="0" collapsed="false">
      <c r="A424" s="48" t="n">
        <v>46289</v>
      </c>
      <c r="B424" s="49" t="s">
        <v>27</v>
      </c>
      <c r="C424" s="49" t="s">
        <v>56</v>
      </c>
      <c r="D424" s="19" t="n">
        <v>602791.5262</v>
      </c>
      <c r="E424" s="21" t="n">
        <v>75.34894078</v>
      </c>
      <c r="F424" s="21" t="n">
        <v>0</v>
      </c>
    </row>
    <row r="425" customFormat="false" ht="15" hidden="false" customHeight="false" outlineLevel="0" collapsed="false">
      <c r="A425" s="48" t="n">
        <v>46289</v>
      </c>
      <c r="B425" s="49" t="s">
        <v>27</v>
      </c>
      <c r="C425" s="49" t="s">
        <v>58</v>
      </c>
      <c r="D425" s="19" t="n">
        <v>3348841.812</v>
      </c>
      <c r="E425" s="21" t="n">
        <v>644.0080408</v>
      </c>
      <c r="F425" s="21" t="n">
        <v>0</v>
      </c>
    </row>
    <row r="426" customFormat="false" ht="15" hidden="false" customHeight="false" outlineLevel="0" collapsed="false">
      <c r="A426" s="48" t="n">
        <v>46289</v>
      </c>
      <c r="B426" s="49" t="s">
        <v>108</v>
      </c>
      <c r="C426" s="49" t="s">
        <v>52</v>
      </c>
      <c r="D426" s="19" t="n">
        <v>173459.4066</v>
      </c>
      <c r="E426" s="21" t="n">
        <v>24.77991523</v>
      </c>
      <c r="F426" s="21" t="n">
        <v>0</v>
      </c>
    </row>
    <row r="427" customFormat="false" ht="15" hidden="false" customHeight="false" outlineLevel="0" collapsed="false">
      <c r="A427" s="48" t="n">
        <v>46289</v>
      </c>
      <c r="B427" s="49" t="s">
        <v>108</v>
      </c>
      <c r="C427" s="49" t="s">
        <v>53</v>
      </c>
      <c r="D427" s="19" t="n">
        <v>33488.418125</v>
      </c>
      <c r="E427" s="21" t="n">
        <v>2.7907015105</v>
      </c>
      <c r="F427" s="21" t="n">
        <v>0</v>
      </c>
    </row>
    <row r="428" customFormat="false" ht="15" hidden="false" customHeight="false" outlineLevel="0" collapsed="false">
      <c r="A428" s="48" t="n">
        <v>46289</v>
      </c>
      <c r="B428" s="49" t="s">
        <v>108</v>
      </c>
      <c r="C428" s="49" t="s">
        <v>54</v>
      </c>
      <c r="D428" s="19" t="n">
        <v>173459.4066</v>
      </c>
      <c r="E428" s="21" t="n">
        <v>23.75180153</v>
      </c>
      <c r="F428" s="21" t="n">
        <v>0</v>
      </c>
    </row>
    <row r="429" customFormat="false" ht="15" hidden="false" customHeight="false" outlineLevel="0" collapsed="false">
      <c r="A429" s="48" t="n">
        <v>46289</v>
      </c>
      <c r="B429" s="49" t="s">
        <v>108</v>
      </c>
      <c r="C429" s="49" t="s">
        <v>22</v>
      </c>
      <c r="D429" s="19" t="n">
        <v>693837.6263</v>
      </c>
      <c r="E429" s="21" t="n">
        <v>96.36633699</v>
      </c>
      <c r="F429" s="21" t="n">
        <v>0</v>
      </c>
    </row>
    <row r="430" customFormat="false" ht="15" hidden="false" customHeight="false" outlineLevel="0" collapsed="false">
      <c r="A430" s="48" t="n">
        <v>46289</v>
      </c>
      <c r="B430" s="49" t="s">
        <v>108</v>
      </c>
      <c r="C430" s="49" t="s">
        <v>55</v>
      </c>
      <c r="D430" s="19" t="n">
        <v>867297.0329</v>
      </c>
      <c r="E430" s="21" t="n">
        <v>61.94978807</v>
      </c>
      <c r="F430" s="21" t="n">
        <v>0</v>
      </c>
    </row>
    <row r="431" customFormat="false" ht="15" hidden="false" customHeight="false" outlineLevel="0" collapsed="false">
      <c r="A431" s="48" t="n">
        <v>46289</v>
      </c>
      <c r="B431" s="49" t="s">
        <v>108</v>
      </c>
      <c r="C431" s="49" t="s">
        <v>56</v>
      </c>
      <c r="D431" s="19" t="n">
        <v>301395.7631</v>
      </c>
      <c r="E431" s="21" t="n">
        <v>37.67447039</v>
      </c>
      <c r="F431" s="21" t="n">
        <v>0</v>
      </c>
    </row>
    <row r="432" customFormat="false" ht="15" hidden="false" customHeight="false" outlineLevel="0" collapsed="false">
      <c r="A432" s="48" t="n">
        <v>46289</v>
      </c>
      <c r="B432" s="49" t="s">
        <v>108</v>
      </c>
      <c r="C432" s="49" t="s">
        <v>57</v>
      </c>
      <c r="D432" s="19" t="n">
        <v>5713810.927</v>
      </c>
      <c r="E432" s="21" t="n">
        <v>368.632963</v>
      </c>
      <c r="F432" s="21" t="n">
        <v>0</v>
      </c>
    </row>
    <row r="433" customFormat="false" ht="15" hidden="false" customHeight="false" outlineLevel="0" collapsed="false">
      <c r="A433" s="48" t="n">
        <v>46289</v>
      </c>
      <c r="B433" s="49" t="s">
        <v>108</v>
      </c>
      <c r="C433" s="49" t="s">
        <v>58</v>
      </c>
      <c r="D433" s="19" t="n">
        <v>1674420.906</v>
      </c>
      <c r="E433" s="21" t="n">
        <v>322.0040204</v>
      </c>
      <c r="F433" s="21" t="n">
        <v>0</v>
      </c>
    </row>
    <row r="434" customFormat="false" ht="15" hidden="false" customHeight="false" outlineLevel="0" collapsed="false">
      <c r="A434" s="48" t="n">
        <v>46290</v>
      </c>
      <c r="B434" s="49" t="s">
        <v>26</v>
      </c>
      <c r="C434" s="49" t="s">
        <v>52</v>
      </c>
      <c r="D434" s="19" t="n">
        <v>206905.2152</v>
      </c>
      <c r="E434" s="21" t="n">
        <v>25.86315191</v>
      </c>
      <c r="F434" s="21" t="n">
        <v>2.586315191</v>
      </c>
    </row>
    <row r="435" customFormat="false" ht="15" hidden="false" customHeight="false" outlineLevel="0" collapsed="false">
      <c r="A435" s="48" t="n">
        <v>46290</v>
      </c>
      <c r="B435" s="49" t="s">
        <v>26</v>
      </c>
      <c r="C435" s="49" t="s">
        <v>53</v>
      </c>
      <c r="D435" s="19" t="n">
        <v>30934.79657</v>
      </c>
      <c r="E435" s="21" t="n">
        <v>2.577899714</v>
      </c>
      <c r="F435" s="21" t="n">
        <v>0</v>
      </c>
    </row>
    <row r="436" customFormat="false" ht="15" hidden="false" customHeight="false" outlineLevel="0" collapsed="false">
      <c r="A436" s="48" t="n">
        <v>46290</v>
      </c>
      <c r="B436" s="49" t="s">
        <v>26</v>
      </c>
      <c r="C436" s="49" t="s">
        <v>22</v>
      </c>
      <c r="D436" s="19" t="n">
        <v>511942.6183</v>
      </c>
      <c r="E436" s="21" t="n">
        <v>53.88869666</v>
      </c>
      <c r="F436" s="21" t="n">
        <v>5.688251314</v>
      </c>
    </row>
    <row r="437" customFormat="false" ht="15" hidden="false" customHeight="false" outlineLevel="0" collapsed="false">
      <c r="A437" s="48" t="n">
        <v>46290</v>
      </c>
      <c r="B437" s="49" t="s">
        <v>26</v>
      </c>
      <c r="C437" s="49" t="s">
        <v>55</v>
      </c>
      <c r="D437" s="19" t="n">
        <v>1182315.516</v>
      </c>
      <c r="E437" s="21" t="n">
        <v>78.82103438</v>
      </c>
      <c r="F437" s="21" t="n">
        <v>11.82315516</v>
      </c>
    </row>
    <row r="438" customFormat="false" ht="15" hidden="false" customHeight="false" outlineLevel="0" collapsed="false">
      <c r="A438" s="48" t="n">
        <v>46290</v>
      </c>
      <c r="B438" s="49" t="s">
        <v>26</v>
      </c>
      <c r="C438" s="49" t="s">
        <v>56</v>
      </c>
      <c r="D438" s="19" t="n">
        <v>278413.16915</v>
      </c>
      <c r="E438" s="21" t="n">
        <v>34.80164614</v>
      </c>
      <c r="F438" s="21" t="n">
        <v>0</v>
      </c>
    </row>
    <row r="439" customFormat="false" ht="15" hidden="false" customHeight="false" outlineLevel="0" collapsed="false">
      <c r="A439" s="48" t="n">
        <v>46290</v>
      </c>
      <c r="B439" s="49" t="s">
        <v>26</v>
      </c>
      <c r="C439" s="49" t="s">
        <v>57</v>
      </c>
      <c r="D439" s="19" t="n">
        <v>7093893.094</v>
      </c>
      <c r="E439" s="21" t="n">
        <v>373.3627944</v>
      </c>
      <c r="F439" s="21" t="n">
        <v>109.1368168</v>
      </c>
    </row>
    <row r="440" customFormat="false" ht="15" hidden="false" customHeight="false" outlineLevel="0" collapsed="false">
      <c r="A440" s="48" t="n">
        <v>46290</v>
      </c>
      <c r="B440" s="49" t="s">
        <v>26</v>
      </c>
      <c r="C440" s="49" t="s">
        <v>58</v>
      </c>
      <c r="D440" s="19" t="n">
        <v>1546739.8285</v>
      </c>
      <c r="E440" s="21" t="n">
        <v>297.44996705</v>
      </c>
      <c r="F440" s="21" t="n">
        <v>0</v>
      </c>
    </row>
    <row r="441" customFormat="false" ht="15" hidden="false" customHeight="false" outlineLevel="0" collapsed="false">
      <c r="A441" s="48" t="n">
        <v>46290</v>
      </c>
      <c r="B441" s="49" t="s">
        <v>27</v>
      </c>
      <c r="C441" s="49" t="s">
        <v>53</v>
      </c>
      <c r="D441" s="19" t="n">
        <v>61869.59314</v>
      </c>
      <c r="E441" s="21" t="n">
        <v>5.155799428</v>
      </c>
      <c r="F441" s="21" t="n">
        <v>0</v>
      </c>
    </row>
    <row r="442" customFormat="false" ht="15" hidden="false" customHeight="false" outlineLevel="0" collapsed="false">
      <c r="A442" s="48" t="n">
        <v>46290</v>
      </c>
      <c r="B442" s="49" t="s">
        <v>27</v>
      </c>
      <c r="C442" s="49" t="s">
        <v>56</v>
      </c>
      <c r="D442" s="19" t="n">
        <v>556826.3383</v>
      </c>
      <c r="E442" s="21" t="n">
        <v>69.60329228</v>
      </c>
      <c r="F442" s="21" t="n">
        <v>0</v>
      </c>
    </row>
    <row r="443" customFormat="false" ht="15" hidden="false" customHeight="false" outlineLevel="0" collapsed="false">
      <c r="A443" s="48" t="n">
        <v>46290</v>
      </c>
      <c r="B443" s="49" t="s">
        <v>27</v>
      </c>
      <c r="C443" s="49" t="s">
        <v>58</v>
      </c>
      <c r="D443" s="19" t="n">
        <v>3093479.657</v>
      </c>
      <c r="E443" s="21" t="n">
        <v>594.8999341</v>
      </c>
      <c r="F443" s="21" t="n">
        <v>0</v>
      </c>
    </row>
    <row r="444" customFormat="false" ht="15" hidden="false" customHeight="false" outlineLevel="0" collapsed="false">
      <c r="A444" s="48" t="n">
        <v>46290</v>
      </c>
      <c r="B444" s="49" t="s">
        <v>108</v>
      </c>
      <c r="C444" s="49" t="s">
        <v>52</v>
      </c>
      <c r="D444" s="19" t="n">
        <v>161558.5262</v>
      </c>
      <c r="E444" s="21" t="n">
        <v>23.07978946</v>
      </c>
      <c r="F444" s="21" t="n">
        <v>0</v>
      </c>
    </row>
    <row r="445" customFormat="false" ht="15" hidden="false" customHeight="false" outlineLevel="0" collapsed="false">
      <c r="A445" s="48" t="n">
        <v>46290</v>
      </c>
      <c r="B445" s="49" t="s">
        <v>108</v>
      </c>
      <c r="C445" s="49" t="s">
        <v>53</v>
      </c>
      <c r="D445" s="19" t="n">
        <v>30934.79657</v>
      </c>
      <c r="E445" s="21" t="n">
        <v>2.577899714</v>
      </c>
      <c r="F445" s="21" t="n">
        <v>0</v>
      </c>
    </row>
    <row r="446" customFormat="false" ht="15" hidden="false" customHeight="false" outlineLevel="0" collapsed="false">
      <c r="A446" s="48" t="n">
        <v>46290</v>
      </c>
      <c r="B446" s="49" t="s">
        <v>108</v>
      </c>
      <c r="C446" s="49" t="s">
        <v>54</v>
      </c>
      <c r="D446" s="19" t="n">
        <v>161558.5262</v>
      </c>
      <c r="E446" s="21" t="n">
        <v>22.12221364</v>
      </c>
      <c r="F446" s="21" t="n">
        <v>0</v>
      </c>
    </row>
    <row r="447" customFormat="false" ht="15" hidden="false" customHeight="false" outlineLevel="0" collapsed="false">
      <c r="A447" s="48" t="n">
        <v>46290</v>
      </c>
      <c r="B447" s="49" t="s">
        <v>108</v>
      </c>
      <c r="C447" s="49" t="s">
        <v>22</v>
      </c>
      <c r="D447" s="19" t="n">
        <v>646234.105</v>
      </c>
      <c r="E447" s="21" t="n">
        <v>89.7547368</v>
      </c>
      <c r="F447" s="21" t="n">
        <v>0</v>
      </c>
    </row>
    <row r="448" customFormat="false" ht="15" hidden="false" customHeight="false" outlineLevel="0" collapsed="false">
      <c r="A448" s="48" t="n">
        <v>46290</v>
      </c>
      <c r="B448" s="49" t="s">
        <v>108</v>
      </c>
      <c r="C448" s="49" t="s">
        <v>55</v>
      </c>
      <c r="D448" s="19" t="n">
        <v>807792.6312</v>
      </c>
      <c r="E448" s="21" t="n">
        <v>57.69947366</v>
      </c>
      <c r="F448" s="21" t="n">
        <v>0</v>
      </c>
    </row>
    <row r="449" customFormat="false" ht="15" hidden="false" customHeight="false" outlineLevel="0" collapsed="false">
      <c r="A449" s="48" t="n">
        <v>46290</v>
      </c>
      <c r="B449" s="49" t="s">
        <v>108</v>
      </c>
      <c r="C449" s="49" t="s">
        <v>56</v>
      </c>
      <c r="D449" s="19" t="n">
        <v>278413.16915</v>
      </c>
      <c r="E449" s="21" t="n">
        <v>34.80164614</v>
      </c>
      <c r="F449" s="21" t="n">
        <v>0</v>
      </c>
    </row>
    <row r="450" customFormat="false" ht="15" hidden="false" customHeight="false" outlineLevel="0" collapsed="false">
      <c r="A450" s="48" t="n">
        <v>46290</v>
      </c>
      <c r="B450" s="49" t="s">
        <v>108</v>
      </c>
      <c r="C450" s="49" t="s">
        <v>57</v>
      </c>
      <c r="D450" s="19" t="n">
        <v>5321791.944</v>
      </c>
      <c r="E450" s="21" t="n">
        <v>343.3414158</v>
      </c>
      <c r="F450" s="21" t="n">
        <v>0</v>
      </c>
    </row>
    <row r="451" customFormat="false" ht="15" hidden="false" customHeight="false" outlineLevel="0" collapsed="false">
      <c r="A451" s="48" t="n">
        <v>46290</v>
      </c>
      <c r="B451" s="49" t="s">
        <v>108</v>
      </c>
      <c r="C451" s="49" t="s">
        <v>58</v>
      </c>
      <c r="D451" s="19" t="n">
        <v>1546739.8285</v>
      </c>
      <c r="E451" s="21" t="n">
        <v>297.44996705</v>
      </c>
      <c r="F451" s="21" t="n">
        <v>0</v>
      </c>
    </row>
    <row r="452" customFormat="false" ht="15" hidden="false" customHeight="false" outlineLevel="0" collapsed="false">
      <c r="A452" s="48" t="n">
        <v>46291</v>
      </c>
      <c r="B452" s="49" t="s">
        <v>26</v>
      </c>
      <c r="C452" s="49" t="s">
        <v>52</v>
      </c>
      <c r="D452" s="19" t="n">
        <v>147481.5448</v>
      </c>
      <c r="E452" s="21" t="n">
        <v>18.4351931</v>
      </c>
      <c r="F452" s="21" t="n">
        <v>1.84351931</v>
      </c>
    </row>
    <row r="453" customFormat="false" ht="15" hidden="false" customHeight="false" outlineLevel="0" collapsed="false">
      <c r="A453" s="48" t="n">
        <v>46291</v>
      </c>
      <c r="B453" s="49" t="s">
        <v>26</v>
      </c>
      <c r="C453" s="49" t="s">
        <v>53</v>
      </c>
      <c r="D453" s="19" t="n">
        <v>21440.81927</v>
      </c>
      <c r="E453" s="21" t="n">
        <v>1.7867349395</v>
      </c>
      <c r="F453" s="21" t="n">
        <v>0</v>
      </c>
    </row>
    <row r="454" customFormat="false" ht="15" hidden="false" customHeight="false" outlineLevel="0" collapsed="false">
      <c r="A454" s="48" t="n">
        <v>46291</v>
      </c>
      <c r="B454" s="49" t="s">
        <v>26</v>
      </c>
      <c r="C454" s="49" t="s">
        <v>22</v>
      </c>
      <c r="D454" s="19" t="n">
        <v>364911.4794</v>
      </c>
      <c r="E454" s="21" t="n">
        <v>38.41173467</v>
      </c>
      <c r="F454" s="21" t="n">
        <v>4.054571993</v>
      </c>
    </row>
    <row r="455" customFormat="false" ht="15" hidden="false" customHeight="false" outlineLevel="0" collapsed="false">
      <c r="A455" s="48" t="n">
        <v>46291</v>
      </c>
      <c r="B455" s="49" t="s">
        <v>26</v>
      </c>
      <c r="C455" s="49" t="s">
        <v>55</v>
      </c>
      <c r="D455" s="19" t="n">
        <v>842751.6845</v>
      </c>
      <c r="E455" s="21" t="n">
        <v>56.18344564</v>
      </c>
      <c r="F455" s="21" t="n">
        <v>8.427516845</v>
      </c>
    </row>
    <row r="456" customFormat="false" ht="15" hidden="false" customHeight="false" outlineLevel="0" collapsed="false">
      <c r="A456" s="48" t="n">
        <v>46291</v>
      </c>
      <c r="B456" s="49" t="s">
        <v>26</v>
      </c>
      <c r="C456" s="49" t="s">
        <v>56</v>
      </c>
      <c r="D456" s="19" t="n">
        <v>192967.37345</v>
      </c>
      <c r="E456" s="21" t="n">
        <v>24.12092168</v>
      </c>
      <c r="F456" s="21" t="n">
        <v>0</v>
      </c>
    </row>
    <row r="457" customFormat="false" ht="15" hidden="false" customHeight="false" outlineLevel="0" collapsed="false">
      <c r="A457" s="48" t="n">
        <v>46291</v>
      </c>
      <c r="B457" s="49" t="s">
        <v>26</v>
      </c>
      <c r="C457" s="49" t="s">
        <v>57</v>
      </c>
      <c r="D457" s="19" t="n">
        <v>5056510.107</v>
      </c>
      <c r="E457" s="21" t="n">
        <v>266.1321109</v>
      </c>
      <c r="F457" s="21" t="n">
        <v>77.79246319</v>
      </c>
    </row>
    <row r="458" customFormat="false" ht="15" hidden="false" customHeight="false" outlineLevel="0" collapsed="false">
      <c r="A458" s="48" t="n">
        <v>46291</v>
      </c>
      <c r="B458" s="49" t="s">
        <v>26</v>
      </c>
      <c r="C458" s="49" t="s">
        <v>58</v>
      </c>
      <c r="D458" s="19" t="n">
        <v>1072040.9635</v>
      </c>
      <c r="E458" s="21" t="n">
        <v>206.16172375</v>
      </c>
      <c r="F458" s="21" t="n">
        <v>0</v>
      </c>
    </row>
    <row r="459" customFormat="false" ht="15" hidden="false" customHeight="false" outlineLevel="0" collapsed="false">
      <c r="A459" s="48" t="n">
        <v>46291</v>
      </c>
      <c r="B459" s="49" t="s">
        <v>27</v>
      </c>
      <c r="C459" s="49" t="s">
        <v>53</v>
      </c>
      <c r="D459" s="19" t="n">
        <v>42881.63854</v>
      </c>
      <c r="E459" s="21" t="n">
        <v>3.573469879</v>
      </c>
      <c r="F459" s="21" t="n">
        <v>0</v>
      </c>
    </row>
    <row r="460" customFormat="false" ht="15" hidden="false" customHeight="false" outlineLevel="0" collapsed="false">
      <c r="A460" s="48" t="n">
        <v>46291</v>
      </c>
      <c r="B460" s="49" t="s">
        <v>27</v>
      </c>
      <c r="C460" s="49" t="s">
        <v>56</v>
      </c>
      <c r="D460" s="19" t="n">
        <v>385934.7469</v>
      </c>
      <c r="E460" s="21" t="n">
        <v>48.24184336</v>
      </c>
      <c r="F460" s="21" t="n">
        <v>0</v>
      </c>
    </row>
    <row r="461" customFormat="false" ht="15" hidden="false" customHeight="false" outlineLevel="0" collapsed="false">
      <c r="A461" s="48" t="n">
        <v>46291</v>
      </c>
      <c r="B461" s="49" t="s">
        <v>27</v>
      </c>
      <c r="C461" s="49" t="s">
        <v>58</v>
      </c>
      <c r="D461" s="19" t="n">
        <v>2144081.927</v>
      </c>
      <c r="E461" s="21" t="n">
        <v>412.3234475</v>
      </c>
      <c r="F461" s="21" t="n">
        <v>0</v>
      </c>
    </row>
    <row r="462" customFormat="false" ht="15" hidden="false" customHeight="false" outlineLevel="0" collapsed="false">
      <c r="A462" s="48" t="n">
        <v>46291</v>
      </c>
      <c r="B462" s="49" t="s">
        <v>108</v>
      </c>
      <c r="C462" s="49" t="s">
        <v>52</v>
      </c>
      <c r="D462" s="19" t="n">
        <v>109064.2321</v>
      </c>
      <c r="E462" s="21" t="n">
        <v>15.58060459</v>
      </c>
      <c r="F462" s="21" t="n">
        <v>0</v>
      </c>
    </row>
    <row r="463" customFormat="false" ht="15" hidden="false" customHeight="false" outlineLevel="0" collapsed="false">
      <c r="A463" s="48" t="n">
        <v>46291</v>
      </c>
      <c r="B463" s="49" t="s">
        <v>108</v>
      </c>
      <c r="C463" s="49" t="s">
        <v>53</v>
      </c>
      <c r="D463" s="19" t="n">
        <v>21440.81927</v>
      </c>
      <c r="E463" s="21" t="n">
        <v>1.7867349395</v>
      </c>
      <c r="F463" s="21" t="n">
        <v>0</v>
      </c>
    </row>
    <row r="464" customFormat="false" ht="15" hidden="false" customHeight="false" outlineLevel="0" collapsed="false">
      <c r="A464" s="48" t="n">
        <v>46291</v>
      </c>
      <c r="B464" s="49" t="s">
        <v>108</v>
      </c>
      <c r="C464" s="49" t="s">
        <v>54</v>
      </c>
      <c r="D464" s="19" t="n">
        <v>109064.2321</v>
      </c>
      <c r="E464" s="21" t="n">
        <v>14.93416844</v>
      </c>
      <c r="F464" s="21" t="n">
        <v>0</v>
      </c>
    </row>
    <row r="465" customFormat="false" ht="15" hidden="false" customHeight="false" outlineLevel="0" collapsed="false">
      <c r="A465" s="48" t="n">
        <v>46291</v>
      </c>
      <c r="B465" s="49" t="s">
        <v>108</v>
      </c>
      <c r="C465" s="49" t="s">
        <v>22</v>
      </c>
      <c r="D465" s="19" t="n">
        <v>436256.9286</v>
      </c>
      <c r="E465" s="21" t="n">
        <v>60.59124008</v>
      </c>
      <c r="F465" s="21" t="n">
        <v>0</v>
      </c>
    </row>
    <row r="466" customFormat="false" ht="15" hidden="false" customHeight="false" outlineLevel="0" collapsed="false">
      <c r="A466" s="48" t="n">
        <v>46291</v>
      </c>
      <c r="B466" s="49" t="s">
        <v>108</v>
      </c>
      <c r="C466" s="49" t="s">
        <v>55</v>
      </c>
      <c r="D466" s="19" t="n">
        <v>545321.1607</v>
      </c>
      <c r="E466" s="21" t="n">
        <v>38.95151148</v>
      </c>
      <c r="F466" s="21" t="n">
        <v>0</v>
      </c>
    </row>
    <row r="467" customFormat="false" ht="15" hidden="false" customHeight="false" outlineLevel="0" collapsed="false">
      <c r="A467" s="48" t="n">
        <v>46291</v>
      </c>
      <c r="B467" s="49" t="s">
        <v>108</v>
      </c>
      <c r="C467" s="49" t="s">
        <v>56</v>
      </c>
      <c r="D467" s="19" t="n">
        <v>192967.37345</v>
      </c>
      <c r="E467" s="21" t="n">
        <v>24.12092168</v>
      </c>
      <c r="F467" s="21" t="n">
        <v>0</v>
      </c>
    </row>
    <row r="468" customFormat="false" ht="15" hidden="false" customHeight="false" outlineLevel="0" collapsed="false">
      <c r="A468" s="48" t="n">
        <v>46291</v>
      </c>
      <c r="B468" s="49" t="s">
        <v>108</v>
      </c>
      <c r="C468" s="49" t="s">
        <v>57</v>
      </c>
      <c r="D468" s="19" t="n">
        <v>3592612.322</v>
      </c>
      <c r="E468" s="21" t="n">
        <v>231.7814401</v>
      </c>
      <c r="F468" s="21" t="n">
        <v>0</v>
      </c>
    </row>
    <row r="469" customFormat="false" ht="15" hidden="false" customHeight="false" outlineLevel="0" collapsed="false">
      <c r="A469" s="48" t="n">
        <v>46291</v>
      </c>
      <c r="B469" s="49" t="s">
        <v>108</v>
      </c>
      <c r="C469" s="49" t="s">
        <v>58</v>
      </c>
      <c r="D469" s="19" t="n">
        <v>1072040.9635</v>
      </c>
      <c r="E469" s="21" t="n">
        <v>206.16172375</v>
      </c>
      <c r="F469" s="21" t="n">
        <v>0</v>
      </c>
    </row>
    <row r="470" customFormat="false" ht="15" hidden="false" customHeight="false" outlineLevel="0" collapsed="false">
      <c r="A470" s="48" t="n">
        <v>46292</v>
      </c>
      <c r="B470" s="49" t="s">
        <v>26</v>
      </c>
      <c r="C470" s="49" t="s">
        <v>52</v>
      </c>
      <c r="D470" s="19" t="n">
        <v>133318.3902</v>
      </c>
      <c r="E470" s="21" t="n">
        <v>16.66479877</v>
      </c>
      <c r="F470" s="21" t="n">
        <v>1.666479877</v>
      </c>
    </row>
    <row r="471" customFormat="false" ht="15" hidden="false" customHeight="false" outlineLevel="0" collapsed="false">
      <c r="A471" s="48" t="n">
        <v>46292</v>
      </c>
      <c r="B471" s="49" t="s">
        <v>26</v>
      </c>
      <c r="C471" s="49" t="s">
        <v>53</v>
      </c>
      <c r="D471" s="19" t="n">
        <v>20429.16537</v>
      </c>
      <c r="E471" s="21" t="n">
        <v>1.7024304475</v>
      </c>
      <c r="F471" s="21" t="n">
        <v>0</v>
      </c>
    </row>
    <row r="472" customFormat="false" ht="15" hidden="false" customHeight="false" outlineLevel="0" collapsed="false">
      <c r="A472" s="48" t="n">
        <v>46292</v>
      </c>
      <c r="B472" s="49" t="s">
        <v>26</v>
      </c>
      <c r="C472" s="49" t="s">
        <v>22</v>
      </c>
      <c r="D472" s="19" t="n">
        <v>329867.7883</v>
      </c>
      <c r="E472" s="21" t="n">
        <v>34.72292508</v>
      </c>
      <c r="F472" s="21" t="n">
        <v>3.665197647</v>
      </c>
    </row>
    <row r="473" customFormat="false" ht="15" hidden="false" customHeight="false" outlineLevel="0" collapsed="false">
      <c r="A473" s="48" t="n">
        <v>46292</v>
      </c>
      <c r="B473" s="49" t="s">
        <v>26</v>
      </c>
      <c r="C473" s="49" t="s">
        <v>55</v>
      </c>
      <c r="D473" s="19" t="n">
        <v>761819.3725</v>
      </c>
      <c r="E473" s="21" t="n">
        <v>50.78795816</v>
      </c>
      <c r="F473" s="21" t="n">
        <v>7.618193725</v>
      </c>
    </row>
    <row r="474" customFormat="false" ht="15" hidden="false" customHeight="false" outlineLevel="0" collapsed="false">
      <c r="A474" s="48" t="n">
        <v>46292</v>
      </c>
      <c r="B474" s="49" t="s">
        <v>26</v>
      </c>
      <c r="C474" s="49" t="s">
        <v>56</v>
      </c>
      <c r="D474" s="19" t="n">
        <v>183862.48835</v>
      </c>
      <c r="E474" s="21" t="n">
        <v>22.98281104</v>
      </c>
      <c r="F474" s="21" t="n">
        <v>0</v>
      </c>
    </row>
    <row r="475" customFormat="false" ht="15" hidden="false" customHeight="false" outlineLevel="0" collapsed="false">
      <c r="A475" s="48" t="n">
        <v>46292</v>
      </c>
      <c r="B475" s="49" t="s">
        <v>26</v>
      </c>
      <c r="C475" s="49" t="s">
        <v>57</v>
      </c>
      <c r="D475" s="19" t="n">
        <v>4570916.235</v>
      </c>
      <c r="E475" s="21" t="n">
        <v>240.5745387</v>
      </c>
      <c r="F475" s="21" t="n">
        <v>70.32178823</v>
      </c>
    </row>
    <row r="476" customFormat="false" ht="15" hidden="false" customHeight="false" outlineLevel="0" collapsed="false">
      <c r="A476" s="48" t="n">
        <v>46292</v>
      </c>
      <c r="B476" s="49" t="s">
        <v>26</v>
      </c>
      <c r="C476" s="49" t="s">
        <v>58</v>
      </c>
      <c r="D476" s="19" t="n">
        <v>1021458.2685</v>
      </c>
      <c r="E476" s="21" t="n">
        <v>196.4342824</v>
      </c>
      <c r="F476" s="21" t="n">
        <v>0</v>
      </c>
    </row>
    <row r="477" customFormat="false" ht="15" hidden="false" customHeight="false" outlineLevel="0" collapsed="false">
      <c r="A477" s="48" t="n">
        <v>46292</v>
      </c>
      <c r="B477" s="49" t="s">
        <v>27</v>
      </c>
      <c r="C477" s="49" t="s">
        <v>53</v>
      </c>
      <c r="D477" s="19" t="n">
        <v>40858.33074</v>
      </c>
      <c r="E477" s="21" t="n">
        <v>3.404860895</v>
      </c>
      <c r="F477" s="21" t="n">
        <v>0</v>
      </c>
    </row>
    <row r="478" customFormat="false" ht="15" hidden="false" customHeight="false" outlineLevel="0" collapsed="false">
      <c r="A478" s="48" t="n">
        <v>46292</v>
      </c>
      <c r="B478" s="49" t="s">
        <v>27</v>
      </c>
      <c r="C478" s="49" t="s">
        <v>56</v>
      </c>
      <c r="D478" s="19" t="n">
        <v>367724.9767</v>
      </c>
      <c r="E478" s="21" t="n">
        <v>45.96562208</v>
      </c>
      <c r="F478" s="21" t="n">
        <v>0</v>
      </c>
    </row>
    <row r="479" customFormat="false" ht="15" hidden="false" customHeight="false" outlineLevel="0" collapsed="false">
      <c r="A479" s="48" t="n">
        <v>46292</v>
      </c>
      <c r="B479" s="49" t="s">
        <v>27</v>
      </c>
      <c r="C479" s="49" t="s">
        <v>58</v>
      </c>
      <c r="D479" s="19" t="n">
        <v>2042916.537</v>
      </c>
      <c r="E479" s="21" t="n">
        <v>392.8685648</v>
      </c>
      <c r="F479" s="21" t="n">
        <v>0</v>
      </c>
    </row>
    <row r="480" customFormat="false" ht="15" hidden="false" customHeight="false" outlineLevel="0" collapsed="false">
      <c r="A480" s="48" t="n">
        <v>46292</v>
      </c>
      <c r="B480" s="49" t="s">
        <v>108</v>
      </c>
      <c r="C480" s="49" t="s">
        <v>52</v>
      </c>
      <c r="D480" s="19" t="n">
        <v>109064.2321</v>
      </c>
      <c r="E480" s="21" t="n">
        <v>15.58060459</v>
      </c>
      <c r="F480" s="21" t="n">
        <v>0</v>
      </c>
    </row>
    <row r="481" customFormat="false" ht="15" hidden="false" customHeight="false" outlineLevel="0" collapsed="false">
      <c r="A481" s="48" t="n">
        <v>46292</v>
      </c>
      <c r="B481" s="49" t="s">
        <v>108</v>
      </c>
      <c r="C481" s="49" t="s">
        <v>53</v>
      </c>
      <c r="D481" s="19" t="n">
        <v>20429.16537</v>
      </c>
      <c r="E481" s="21" t="n">
        <v>1.7024304475</v>
      </c>
      <c r="F481" s="21" t="n">
        <v>0</v>
      </c>
    </row>
    <row r="482" customFormat="false" ht="15" hidden="false" customHeight="false" outlineLevel="0" collapsed="false">
      <c r="A482" s="48" t="n">
        <v>46292</v>
      </c>
      <c r="B482" s="49" t="s">
        <v>108</v>
      </c>
      <c r="C482" s="49" t="s">
        <v>54</v>
      </c>
      <c r="D482" s="19" t="n">
        <v>109064.2321</v>
      </c>
      <c r="E482" s="21" t="n">
        <v>14.93416844</v>
      </c>
      <c r="F482" s="21" t="n">
        <v>0</v>
      </c>
    </row>
    <row r="483" customFormat="false" ht="15" hidden="false" customHeight="false" outlineLevel="0" collapsed="false">
      <c r="A483" s="48" t="n">
        <v>46292</v>
      </c>
      <c r="B483" s="49" t="s">
        <v>108</v>
      </c>
      <c r="C483" s="49" t="s">
        <v>22</v>
      </c>
      <c r="D483" s="19" t="n">
        <v>436256.9286</v>
      </c>
      <c r="E483" s="21" t="n">
        <v>60.59124008</v>
      </c>
      <c r="F483" s="21" t="n">
        <v>0</v>
      </c>
    </row>
    <row r="484" customFormat="false" ht="15" hidden="false" customHeight="false" outlineLevel="0" collapsed="false">
      <c r="A484" s="48" t="n">
        <v>46292</v>
      </c>
      <c r="B484" s="49" t="s">
        <v>108</v>
      </c>
      <c r="C484" s="49" t="s">
        <v>55</v>
      </c>
      <c r="D484" s="19" t="n">
        <v>545321.1607</v>
      </c>
      <c r="E484" s="21" t="n">
        <v>38.95151148</v>
      </c>
      <c r="F484" s="21" t="n">
        <v>0</v>
      </c>
    </row>
    <row r="485" customFormat="false" ht="15" hidden="false" customHeight="false" outlineLevel="0" collapsed="false">
      <c r="A485" s="48" t="n">
        <v>46292</v>
      </c>
      <c r="B485" s="49" t="s">
        <v>108</v>
      </c>
      <c r="C485" s="49" t="s">
        <v>56</v>
      </c>
      <c r="D485" s="19" t="n">
        <v>183862.48835</v>
      </c>
      <c r="E485" s="21" t="n">
        <v>22.98281104</v>
      </c>
      <c r="F485" s="21" t="n">
        <v>0</v>
      </c>
    </row>
    <row r="486" customFormat="false" ht="15" hidden="false" customHeight="false" outlineLevel="0" collapsed="false">
      <c r="A486" s="48" t="n">
        <v>46292</v>
      </c>
      <c r="B486" s="49" t="s">
        <v>108</v>
      </c>
      <c r="C486" s="49" t="s">
        <v>57</v>
      </c>
      <c r="D486" s="19" t="n">
        <v>3592612.322</v>
      </c>
      <c r="E486" s="21" t="n">
        <v>231.7814401</v>
      </c>
      <c r="F486" s="21" t="n">
        <v>0</v>
      </c>
    </row>
    <row r="487" customFormat="false" ht="15" hidden="false" customHeight="false" outlineLevel="0" collapsed="false">
      <c r="A487" s="48" t="n">
        <v>46292</v>
      </c>
      <c r="B487" s="49" t="s">
        <v>108</v>
      </c>
      <c r="C487" s="49" t="s">
        <v>58</v>
      </c>
      <c r="D487" s="19" t="n">
        <v>1021458.2685</v>
      </c>
      <c r="E487" s="21" t="n">
        <v>196.4342824</v>
      </c>
      <c r="F487" s="21" t="n">
        <v>0</v>
      </c>
    </row>
    <row r="488" customFormat="false" ht="15" hidden="false" customHeight="false" outlineLevel="0" collapsed="false">
      <c r="A488" s="48" t="n">
        <v>46293</v>
      </c>
      <c r="B488" s="49" t="s">
        <v>26</v>
      </c>
      <c r="C488" s="49" t="s">
        <v>52</v>
      </c>
      <c r="D488" s="19" t="n">
        <v>319902.5575</v>
      </c>
      <c r="E488" s="21" t="n">
        <v>39.98781969</v>
      </c>
      <c r="F488" s="21" t="n">
        <v>3.998781969</v>
      </c>
    </row>
    <row r="489" customFormat="false" ht="15" hidden="false" customHeight="false" outlineLevel="0" collapsed="false">
      <c r="A489" s="48" t="n">
        <v>46293</v>
      </c>
      <c r="B489" s="49" t="s">
        <v>26</v>
      </c>
      <c r="C489" s="49" t="s">
        <v>53</v>
      </c>
      <c r="D489" s="19" t="n">
        <v>46570.430475</v>
      </c>
      <c r="E489" s="21" t="n">
        <v>3.8808692065</v>
      </c>
      <c r="F489" s="21" t="n">
        <v>0</v>
      </c>
    </row>
    <row r="490" customFormat="false" ht="15" hidden="false" customHeight="false" outlineLevel="0" collapsed="false">
      <c r="A490" s="48" t="n">
        <v>46293</v>
      </c>
      <c r="B490" s="49" t="s">
        <v>26</v>
      </c>
      <c r="C490" s="49" t="s">
        <v>22</v>
      </c>
      <c r="D490" s="19" t="n">
        <v>791530.328</v>
      </c>
      <c r="E490" s="21" t="n">
        <v>83.31898189</v>
      </c>
      <c r="F490" s="21" t="n">
        <v>8.794781422</v>
      </c>
    </row>
    <row r="491" customFormat="false" ht="15" hidden="false" customHeight="false" outlineLevel="0" collapsed="false">
      <c r="A491" s="48" t="n">
        <v>46293</v>
      </c>
      <c r="B491" s="49" t="s">
        <v>26</v>
      </c>
      <c r="C491" s="49" t="s">
        <v>55</v>
      </c>
      <c r="D491" s="19" t="n">
        <v>1828014.614</v>
      </c>
      <c r="E491" s="21" t="n">
        <v>121.867641</v>
      </c>
      <c r="F491" s="21" t="n">
        <v>18.28014614</v>
      </c>
    </row>
    <row r="492" customFormat="false" ht="15" hidden="false" customHeight="false" outlineLevel="0" collapsed="false">
      <c r="A492" s="48" t="n">
        <v>46293</v>
      </c>
      <c r="B492" s="49" t="s">
        <v>26</v>
      </c>
      <c r="C492" s="49" t="s">
        <v>56</v>
      </c>
      <c r="D492" s="19" t="n">
        <v>419133.8743</v>
      </c>
      <c r="E492" s="21" t="n">
        <v>52.3917343</v>
      </c>
      <c r="F492" s="21" t="n">
        <v>0</v>
      </c>
    </row>
    <row r="493" customFormat="false" ht="15" hidden="false" customHeight="false" outlineLevel="0" collapsed="false">
      <c r="A493" s="48" t="n">
        <v>46293</v>
      </c>
      <c r="B493" s="49" t="s">
        <v>26</v>
      </c>
      <c r="C493" s="49" t="s">
        <v>57</v>
      </c>
      <c r="D493" s="19" t="n">
        <v>10968087.69</v>
      </c>
      <c r="E493" s="21" t="n">
        <v>577.2677729</v>
      </c>
      <c r="F493" s="21" t="n">
        <v>168.7398105</v>
      </c>
    </row>
    <row r="494" customFormat="false" ht="15" hidden="false" customHeight="false" outlineLevel="0" collapsed="false">
      <c r="A494" s="48" t="n">
        <v>46293</v>
      </c>
      <c r="B494" s="49" t="s">
        <v>26</v>
      </c>
      <c r="C494" s="49" t="s">
        <v>58</v>
      </c>
      <c r="D494" s="19" t="n">
        <v>2328521.524</v>
      </c>
      <c r="E494" s="21" t="n">
        <v>447.79260075</v>
      </c>
      <c r="F494" s="21" t="n">
        <v>0</v>
      </c>
    </row>
    <row r="495" customFormat="false" ht="15" hidden="false" customHeight="false" outlineLevel="0" collapsed="false">
      <c r="A495" s="48" t="n">
        <v>46293</v>
      </c>
      <c r="B495" s="49" t="s">
        <v>27</v>
      </c>
      <c r="C495" s="49" t="s">
        <v>53</v>
      </c>
      <c r="D495" s="19" t="n">
        <v>93140.86095</v>
      </c>
      <c r="E495" s="21" t="n">
        <v>7.761738413</v>
      </c>
      <c r="F495" s="21" t="n">
        <v>0</v>
      </c>
    </row>
    <row r="496" customFormat="false" ht="15" hidden="false" customHeight="false" outlineLevel="0" collapsed="false">
      <c r="A496" s="48" t="n">
        <v>46293</v>
      </c>
      <c r="B496" s="49" t="s">
        <v>27</v>
      </c>
      <c r="C496" s="49" t="s">
        <v>56</v>
      </c>
      <c r="D496" s="19" t="n">
        <v>838267.7486</v>
      </c>
      <c r="E496" s="21" t="n">
        <v>104.7834686</v>
      </c>
      <c r="F496" s="21" t="n">
        <v>0</v>
      </c>
    </row>
    <row r="497" customFormat="false" ht="15" hidden="false" customHeight="false" outlineLevel="0" collapsed="false">
      <c r="A497" s="48" t="n">
        <v>46293</v>
      </c>
      <c r="B497" s="49" t="s">
        <v>27</v>
      </c>
      <c r="C497" s="49" t="s">
        <v>58</v>
      </c>
      <c r="D497" s="19" t="n">
        <v>4657043.048</v>
      </c>
      <c r="E497" s="21" t="n">
        <v>895.5852015</v>
      </c>
      <c r="F497" s="21" t="n">
        <v>0</v>
      </c>
    </row>
    <row r="498" customFormat="false" ht="15" hidden="false" customHeight="false" outlineLevel="0" collapsed="false">
      <c r="A498" s="48" t="n">
        <v>46293</v>
      </c>
      <c r="B498" s="49" t="s">
        <v>108</v>
      </c>
      <c r="C498" s="49" t="s">
        <v>52</v>
      </c>
      <c r="D498" s="19" t="n">
        <v>237202.478</v>
      </c>
      <c r="E498" s="21" t="n">
        <v>33.88606828</v>
      </c>
      <c r="F498" s="21" t="n">
        <v>0</v>
      </c>
    </row>
    <row r="499" customFormat="false" ht="15" hidden="false" customHeight="false" outlineLevel="0" collapsed="false">
      <c r="A499" s="48" t="n">
        <v>46293</v>
      </c>
      <c r="B499" s="49" t="s">
        <v>108</v>
      </c>
      <c r="C499" s="49" t="s">
        <v>53</v>
      </c>
      <c r="D499" s="19" t="n">
        <v>46570.430475</v>
      </c>
      <c r="E499" s="21" t="n">
        <v>3.8808692065</v>
      </c>
      <c r="F499" s="21" t="n">
        <v>0</v>
      </c>
    </row>
    <row r="500" customFormat="false" ht="15" hidden="false" customHeight="false" outlineLevel="0" collapsed="false">
      <c r="A500" s="48" t="n">
        <v>46293</v>
      </c>
      <c r="B500" s="49" t="s">
        <v>108</v>
      </c>
      <c r="C500" s="49" t="s">
        <v>54</v>
      </c>
      <c r="D500" s="19" t="n">
        <v>237202.478</v>
      </c>
      <c r="E500" s="21" t="n">
        <v>32.48014213</v>
      </c>
      <c r="F500" s="21" t="n">
        <v>0</v>
      </c>
    </row>
    <row r="501" customFormat="false" ht="15" hidden="false" customHeight="false" outlineLevel="0" collapsed="false">
      <c r="A501" s="48" t="n">
        <v>46293</v>
      </c>
      <c r="B501" s="49" t="s">
        <v>108</v>
      </c>
      <c r="C501" s="49" t="s">
        <v>22</v>
      </c>
      <c r="D501" s="19" t="n">
        <v>948809.912</v>
      </c>
      <c r="E501" s="21" t="n">
        <v>131.7791544</v>
      </c>
      <c r="F501" s="21" t="n">
        <v>0</v>
      </c>
    </row>
    <row r="502" customFormat="false" ht="15" hidden="false" customHeight="false" outlineLevel="0" collapsed="false">
      <c r="A502" s="48" t="n">
        <v>46293</v>
      </c>
      <c r="B502" s="49" t="s">
        <v>108</v>
      </c>
      <c r="C502" s="49" t="s">
        <v>55</v>
      </c>
      <c r="D502" s="19" t="n">
        <v>1186012.39</v>
      </c>
      <c r="E502" s="21" t="n">
        <v>84.71517071</v>
      </c>
      <c r="F502" s="21" t="n">
        <v>0</v>
      </c>
    </row>
    <row r="503" customFormat="false" ht="15" hidden="false" customHeight="false" outlineLevel="0" collapsed="false">
      <c r="A503" s="48" t="n">
        <v>46293</v>
      </c>
      <c r="B503" s="49" t="s">
        <v>108</v>
      </c>
      <c r="C503" s="49" t="s">
        <v>56</v>
      </c>
      <c r="D503" s="19" t="n">
        <v>419133.8743</v>
      </c>
      <c r="E503" s="21" t="n">
        <v>52.3917343</v>
      </c>
      <c r="F503" s="21" t="n">
        <v>0</v>
      </c>
    </row>
    <row r="504" customFormat="false" ht="15" hidden="false" customHeight="false" outlineLevel="0" collapsed="false">
      <c r="A504" s="48" t="n">
        <v>46293</v>
      </c>
      <c r="B504" s="49" t="s">
        <v>108</v>
      </c>
      <c r="C504" s="49" t="s">
        <v>57</v>
      </c>
      <c r="D504" s="19" t="n">
        <v>7813529.04</v>
      </c>
      <c r="E504" s="21" t="n">
        <v>504.0986478</v>
      </c>
      <c r="F504" s="21" t="n">
        <v>0</v>
      </c>
    </row>
    <row r="505" customFormat="false" ht="15" hidden="false" customHeight="false" outlineLevel="0" collapsed="false">
      <c r="A505" s="48" t="n">
        <v>46293</v>
      </c>
      <c r="B505" s="49" t="s">
        <v>108</v>
      </c>
      <c r="C505" s="49" t="s">
        <v>58</v>
      </c>
      <c r="D505" s="19" t="n">
        <v>2328521.524</v>
      </c>
      <c r="E505" s="21" t="n">
        <v>447.79260075</v>
      </c>
      <c r="F505" s="21" t="n">
        <v>0</v>
      </c>
    </row>
    <row r="506" customFormat="false" ht="15" hidden="false" customHeight="false" outlineLevel="0" collapsed="false">
      <c r="A506" s="48" t="n">
        <v>46294</v>
      </c>
      <c r="B506" s="49" t="s">
        <v>26</v>
      </c>
      <c r="C506" s="49" t="s">
        <v>52</v>
      </c>
      <c r="D506" s="19" t="n">
        <v>318978.8735</v>
      </c>
      <c r="E506" s="21" t="n">
        <v>39.87235919</v>
      </c>
      <c r="F506" s="21" t="n">
        <v>3.987235919</v>
      </c>
    </row>
    <row r="507" customFormat="false" ht="15" hidden="false" customHeight="false" outlineLevel="0" collapsed="false">
      <c r="A507" s="48" t="n">
        <v>46294</v>
      </c>
      <c r="B507" s="49" t="s">
        <v>26</v>
      </c>
      <c r="C507" s="49" t="s">
        <v>53</v>
      </c>
      <c r="D507" s="19" t="n">
        <v>42868.978645</v>
      </c>
      <c r="E507" s="21" t="n">
        <v>3.572414887</v>
      </c>
      <c r="F507" s="21" t="n">
        <v>0</v>
      </c>
    </row>
    <row r="508" customFormat="false" ht="15" hidden="false" customHeight="false" outlineLevel="0" collapsed="false">
      <c r="A508" s="48" t="n">
        <v>46294</v>
      </c>
      <c r="B508" s="49" t="s">
        <v>26</v>
      </c>
      <c r="C508" s="49" t="s">
        <v>22</v>
      </c>
      <c r="D508" s="19" t="n">
        <v>789244.8699</v>
      </c>
      <c r="E508" s="21" t="n">
        <v>83.07840735</v>
      </c>
      <c r="F508" s="21" t="n">
        <v>8.769387443</v>
      </c>
    </row>
    <row r="509" customFormat="false" ht="15" hidden="false" customHeight="false" outlineLevel="0" collapsed="false">
      <c r="A509" s="48" t="n">
        <v>46294</v>
      </c>
      <c r="B509" s="49" t="s">
        <v>26</v>
      </c>
      <c r="C509" s="49" t="s">
        <v>55</v>
      </c>
      <c r="D509" s="19" t="n">
        <v>1822736.42</v>
      </c>
      <c r="E509" s="21" t="n">
        <v>121.5157613</v>
      </c>
      <c r="F509" s="21" t="n">
        <v>18.2273642</v>
      </c>
    </row>
    <row r="510" customFormat="false" ht="15" hidden="false" customHeight="false" outlineLevel="0" collapsed="false">
      <c r="A510" s="48" t="n">
        <v>46294</v>
      </c>
      <c r="B510" s="49" t="s">
        <v>26</v>
      </c>
      <c r="C510" s="49" t="s">
        <v>56</v>
      </c>
      <c r="D510" s="19" t="n">
        <v>385820.8078</v>
      </c>
      <c r="E510" s="21" t="n">
        <v>48.227600975</v>
      </c>
      <c r="F510" s="21" t="n">
        <v>0</v>
      </c>
    </row>
    <row r="511" customFormat="false" ht="15" hidden="false" customHeight="false" outlineLevel="0" collapsed="false">
      <c r="A511" s="48" t="n">
        <v>46294</v>
      </c>
      <c r="B511" s="49" t="s">
        <v>26</v>
      </c>
      <c r="C511" s="49" t="s">
        <v>57</v>
      </c>
      <c r="D511" s="19" t="n">
        <v>10936418.52</v>
      </c>
      <c r="E511" s="21" t="n">
        <v>575.6009747</v>
      </c>
      <c r="F511" s="21" t="n">
        <v>168.2525926</v>
      </c>
    </row>
    <row r="512" customFormat="false" ht="15" hidden="false" customHeight="false" outlineLevel="0" collapsed="false">
      <c r="A512" s="48" t="n">
        <v>46294</v>
      </c>
      <c r="B512" s="49" t="s">
        <v>26</v>
      </c>
      <c r="C512" s="49" t="s">
        <v>58</v>
      </c>
      <c r="D512" s="19" t="n">
        <v>2143448.932</v>
      </c>
      <c r="E512" s="21" t="n">
        <v>412.20171775</v>
      </c>
      <c r="F512" s="21" t="n">
        <v>0</v>
      </c>
    </row>
    <row r="513" customFormat="false" ht="15" hidden="false" customHeight="false" outlineLevel="0" collapsed="false">
      <c r="A513" s="48" t="n">
        <v>46294</v>
      </c>
      <c r="B513" s="49" t="s">
        <v>27</v>
      </c>
      <c r="C513" s="49" t="s">
        <v>53</v>
      </c>
      <c r="D513" s="19" t="n">
        <v>85737.95729</v>
      </c>
      <c r="E513" s="21" t="n">
        <v>7.144829774</v>
      </c>
      <c r="F513" s="21" t="n">
        <v>0</v>
      </c>
    </row>
    <row r="514" customFormat="false" ht="15" hidden="false" customHeight="false" outlineLevel="0" collapsed="false">
      <c r="A514" s="48" t="n">
        <v>46294</v>
      </c>
      <c r="B514" s="49" t="s">
        <v>27</v>
      </c>
      <c r="C514" s="49" t="s">
        <v>56</v>
      </c>
      <c r="D514" s="19" t="n">
        <v>771641.6156</v>
      </c>
      <c r="E514" s="21" t="n">
        <v>96.45520195</v>
      </c>
      <c r="F514" s="21" t="n">
        <v>0</v>
      </c>
    </row>
    <row r="515" customFormat="false" ht="15" hidden="false" customHeight="false" outlineLevel="0" collapsed="false">
      <c r="A515" s="48" t="n">
        <v>46294</v>
      </c>
      <c r="B515" s="49" t="s">
        <v>27</v>
      </c>
      <c r="C515" s="49" t="s">
        <v>58</v>
      </c>
      <c r="D515" s="19" t="n">
        <v>4286897.864</v>
      </c>
      <c r="E515" s="21" t="n">
        <v>824.4034355</v>
      </c>
      <c r="F515" s="21" t="n">
        <v>0</v>
      </c>
    </row>
    <row r="516" customFormat="false" ht="15" hidden="false" customHeight="false" outlineLevel="0" collapsed="false">
      <c r="A516" s="48" t="n">
        <v>46294</v>
      </c>
      <c r="B516" s="49" t="s">
        <v>108</v>
      </c>
      <c r="C516" s="49" t="s">
        <v>52</v>
      </c>
      <c r="D516" s="19" t="n">
        <v>200847.7339</v>
      </c>
      <c r="E516" s="21" t="n">
        <v>28.69253342</v>
      </c>
      <c r="F516" s="21" t="n">
        <v>0</v>
      </c>
    </row>
    <row r="517" customFormat="false" ht="15" hidden="false" customHeight="false" outlineLevel="0" collapsed="false">
      <c r="A517" s="48" t="n">
        <v>46294</v>
      </c>
      <c r="B517" s="49" t="s">
        <v>108</v>
      </c>
      <c r="C517" s="49" t="s">
        <v>53</v>
      </c>
      <c r="D517" s="19" t="n">
        <v>42868.978645</v>
      </c>
      <c r="E517" s="21" t="n">
        <v>3.572414887</v>
      </c>
      <c r="F517" s="21" t="n">
        <v>0</v>
      </c>
    </row>
    <row r="518" customFormat="false" ht="15" hidden="false" customHeight="false" outlineLevel="0" collapsed="false">
      <c r="A518" s="48" t="n">
        <v>46294</v>
      </c>
      <c r="B518" s="49" t="s">
        <v>108</v>
      </c>
      <c r="C518" s="49" t="s">
        <v>54</v>
      </c>
      <c r="D518" s="19" t="n">
        <v>200847.7339</v>
      </c>
      <c r="E518" s="21" t="n">
        <v>27.50208598</v>
      </c>
      <c r="F518" s="21" t="n">
        <v>0</v>
      </c>
    </row>
    <row r="519" customFormat="false" ht="15" hidden="false" customHeight="false" outlineLevel="0" collapsed="false">
      <c r="A519" s="48" t="n">
        <v>46294</v>
      </c>
      <c r="B519" s="49" t="s">
        <v>108</v>
      </c>
      <c r="C519" s="49" t="s">
        <v>22</v>
      </c>
      <c r="D519" s="19" t="n">
        <v>803390.9358</v>
      </c>
      <c r="E519" s="21" t="n">
        <v>111.5820744</v>
      </c>
      <c r="F519" s="21" t="n">
        <v>0</v>
      </c>
    </row>
    <row r="520" customFormat="false" ht="15" hidden="false" customHeight="false" outlineLevel="0" collapsed="false">
      <c r="A520" s="48" t="n">
        <v>46294</v>
      </c>
      <c r="B520" s="49" t="s">
        <v>108</v>
      </c>
      <c r="C520" s="49" t="s">
        <v>55</v>
      </c>
      <c r="D520" s="19" t="n">
        <v>1004238.67</v>
      </c>
      <c r="E520" s="21" t="n">
        <v>71.73133355</v>
      </c>
      <c r="F520" s="21" t="n">
        <v>0</v>
      </c>
    </row>
    <row r="521" customFormat="false" ht="15" hidden="false" customHeight="false" outlineLevel="0" collapsed="false">
      <c r="A521" s="48" t="n">
        <v>46294</v>
      </c>
      <c r="B521" s="49" t="s">
        <v>108</v>
      </c>
      <c r="C521" s="49" t="s">
        <v>56</v>
      </c>
      <c r="D521" s="19" t="n">
        <v>385820.8078</v>
      </c>
      <c r="E521" s="21" t="n">
        <v>48.227600975</v>
      </c>
      <c r="F521" s="21" t="n">
        <v>0</v>
      </c>
    </row>
    <row r="522" customFormat="false" ht="15" hidden="false" customHeight="false" outlineLevel="0" collapsed="false">
      <c r="A522" s="48" t="n">
        <v>46294</v>
      </c>
      <c r="B522" s="49" t="s">
        <v>108</v>
      </c>
      <c r="C522" s="49" t="s">
        <v>57</v>
      </c>
      <c r="D522" s="19" t="n">
        <v>6615991.6</v>
      </c>
      <c r="E522" s="21" t="n">
        <v>426.8381677</v>
      </c>
      <c r="F522" s="21" t="n">
        <v>0</v>
      </c>
    </row>
    <row r="523" customFormat="false" ht="15" hidden="false" customHeight="false" outlineLevel="0" collapsed="false">
      <c r="A523" s="48" t="n">
        <v>46294</v>
      </c>
      <c r="B523" s="49" t="s">
        <v>108</v>
      </c>
      <c r="C523" s="49" t="s">
        <v>58</v>
      </c>
      <c r="D523" s="19" t="n">
        <v>2143448.932</v>
      </c>
      <c r="E523" s="21" t="n">
        <v>412.20171775</v>
      </c>
      <c r="F523" s="21" t="n">
        <v>0</v>
      </c>
    </row>
    <row r="524" customFormat="false" ht="15" hidden="false" customHeight="false" outlineLevel="0" collapsed="false">
      <c r="A524" s="48" t="n">
        <v>46295</v>
      </c>
      <c r="B524" s="49" t="s">
        <v>26</v>
      </c>
      <c r="C524" s="49" t="s">
        <v>52</v>
      </c>
      <c r="D524" s="19" t="n">
        <v>275873.6203</v>
      </c>
      <c r="E524" s="21" t="n">
        <v>34.48420254</v>
      </c>
      <c r="F524" s="21" t="n">
        <v>3.448420254</v>
      </c>
    </row>
    <row r="525" customFormat="false" ht="15" hidden="false" customHeight="false" outlineLevel="0" collapsed="false">
      <c r="A525" s="48" t="n">
        <v>46295</v>
      </c>
      <c r="B525" s="49" t="s">
        <v>26</v>
      </c>
      <c r="C525" s="49" t="s">
        <v>53</v>
      </c>
      <c r="D525" s="19" t="n">
        <v>38811.87744</v>
      </c>
      <c r="E525" s="21" t="n">
        <v>3.23432312</v>
      </c>
      <c r="F525" s="21" t="n">
        <v>0</v>
      </c>
    </row>
    <row r="526" customFormat="false" ht="15" hidden="false" customHeight="false" outlineLevel="0" collapsed="false">
      <c r="A526" s="48" t="n">
        <v>46295</v>
      </c>
      <c r="B526" s="49" t="s">
        <v>26</v>
      </c>
      <c r="C526" s="49" t="s">
        <v>22</v>
      </c>
      <c r="D526" s="19" t="n">
        <v>682590.1577</v>
      </c>
      <c r="E526" s="21" t="n">
        <v>71.85159555</v>
      </c>
      <c r="F526" s="21" t="n">
        <v>7.584335086</v>
      </c>
    </row>
    <row r="527" customFormat="false" ht="15" hidden="false" customHeight="false" outlineLevel="0" collapsed="false">
      <c r="A527" s="48" t="n">
        <v>46295</v>
      </c>
      <c r="B527" s="49" t="s">
        <v>26</v>
      </c>
      <c r="C527" s="49" t="s">
        <v>55</v>
      </c>
      <c r="D527" s="19" t="n">
        <v>1576420.688</v>
      </c>
      <c r="E527" s="21" t="n">
        <v>105.0947125</v>
      </c>
      <c r="F527" s="21" t="n">
        <v>15.76420688</v>
      </c>
    </row>
    <row r="528" customFormat="false" ht="15" hidden="false" customHeight="false" outlineLevel="0" collapsed="false">
      <c r="A528" s="48" t="n">
        <v>46295</v>
      </c>
      <c r="B528" s="49" t="s">
        <v>26</v>
      </c>
      <c r="C528" s="49" t="s">
        <v>56</v>
      </c>
      <c r="D528" s="19" t="n">
        <v>349306.89695</v>
      </c>
      <c r="E528" s="21" t="n">
        <v>43.66336212</v>
      </c>
      <c r="F528" s="21" t="n">
        <v>0</v>
      </c>
    </row>
    <row r="529" customFormat="false" ht="15" hidden="false" customHeight="false" outlineLevel="0" collapsed="false">
      <c r="A529" s="48" t="n">
        <v>46295</v>
      </c>
      <c r="B529" s="49" t="s">
        <v>26</v>
      </c>
      <c r="C529" s="49" t="s">
        <v>57</v>
      </c>
      <c r="D529" s="19" t="n">
        <v>9458524.125</v>
      </c>
      <c r="E529" s="21" t="n">
        <v>497.8170592</v>
      </c>
      <c r="F529" s="21" t="n">
        <v>145.5157558</v>
      </c>
    </row>
    <row r="530" customFormat="false" ht="15" hidden="false" customHeight="false" outlineLevel="0" collapsed="false">
      <c r="A530" s="48" t="n">
        <v>46295</v>
      </c>
      <c r="B530" s="49" t="s">
        <v>26</v>
      </c>
      <c r="C530" s="49" t="s">
        <v>58</v>
      </c>
      <c r="D530" s="19" t="n">
        <v>1940593.872</v>
      </c>
      <c r="E530" s="21" t="n">
        <v>373.19112925</v>
      </c>
      <c r="F530" s="21" t="n">
        <v>0</v>
      </c>
    </row>
    <row r="531" customFormat="false" ht="15" hidden="false" customHeight="false" outlineLevel="0" collapsed="false">
      <c r="A531" s="48" t="n">
        <v>46295</v>
      </c>
      <c r="B531" s="49" t="s">
        <v>27</v>
      </c>
      <c r="C531" s="49" t="s">
        <v>53</v>
      </c>
      <c r="D531" s="19" t="n">
        <v>77623.75488</v>
      </c>
      <c r="E531" s="21" t="n">
        <v>6.46864624</v>
      </c>
      <c r="F531" s="21" t="n">
        <v>0</v>
      </c>
    </row>
    <row r="532" customFormat="false" ht="15" hidden="false" customHeight="false" outlineLevel="0" collapsed="false">
      <c r="A532" s="48" t="n">
        <v>46295</v>
      </c>
      <c r="B532" s="49" t="s">
        <v>27</v>
      </c>
      <c r="C532" s="49" t="s">
        <v>56</v>
      </c>
      <c r="D532" s="19" t="n">
        <v>698613.7939</v>
      </c>
      <c r="E532" s="21" t="n">
        <v>87.32672424</v>
      </c>
      <c r="F532" s="21" t="n">
        <v>0</v>
      </c>
    </row>
    <row r="533" customFormat="false" ht="15" hidden="false" customHeight="false" outlineLevel="0" collapsed="false">
      <c r="A533" s="48" t="n">
        <v>46295</v>
      </c>
      <c r="B533" s="49" t="s">
        <v>27</v>
      </c>
      <c r="C533" s="49" t="s">
        <v>58</v>
      </c>
      <c r="D533" s="19" t="n">
        <v>3881187.744</v>
      </c>
      <c r="E533" s="21" t="n">
        <v>746.3822585</v>
      </c>
      <c r="F533" s="21" t="n">
        <v>0</v>
      </c>
    </row>
    <row r="534" customFormat="false" ht="15" hidden="false" customHeight="false" outlineLevel="0" collapsed="false">
      <c r="A534" s="48" t="n">
        <v>46295</v>
      </c>
      <c r="B534" s="49" t="s">
        <v>108</v>
      </c>
      <c r="C534" s="49" t="s">
        <v>52</v>
      </c>
      <c r="D534" s="19" t="n">
        <v>191066.1885</v>
      </c>
      <c r="E534" s="21" t="n">
        <v>27.29516978</v>
      </c>
      <c r="F534" s="21" t="n">
        <v>0</v>
      </c>
    </row>
    <row r="535" customFormat="false" ht="15" hidden="false" customHeight="false" outlineLevel="0" collapsed="false">
      <c r="A535" s="48" t="n">
        <v>46295</v>
      </c>
      <c r="B535" s="49" t="s">
        <v>108</v>
      </c>
      <c r="C535" s="49" t="s">
        <v>53</v>
      </c>
      <c r="D535" s="19" t="n">
        <v>38811.87744</v>
      </c>
      <c r="E535" s="21" t="n">
        <v>3.23432312</v>
      </c>
      <c r="F535" s="21" t="n">
        <v>0</v>
      </c>
    </row>
    <row r="536" customFormat="false" ht="15" hidden="false" customHeight="false" outlineLevel="0" collapsed="false">
      <c r="A536" s="48" t="n">
        <v>46295</v>
      </c>
      <c r="B536" s="49" t="s">
        <v>108</v>
      </c>
      <c r="C536" s="49" t="s">
        <v>54</v>
      </c>
      <c r="D536" s="19" t="n">
        <v>191066.1885</v>
      </c>
      <c r="E536" s="21" t="n">
        <v>26.16269868</v>
      </c>
      <c r="F536" s="21" t="n">
        <v>0</v>
      </c>
    </row>
    <row r="537" customFormat="false" ht="15" hidden="false" customHeight="false" outlineLevel="0" collapsed="false">
      <c r="A537" s="48" t="n">
        <v>46295</v>
      </c>
      <c r="B537" s="49" t="s">
        <v>108</v>
      </c>
      <c r="C537" s="49" t="s">
        <v>22</v>
      </c>
      <c r="D537" s="19" t="n">
        <v>764264.7538</v>
      </c>
      <c r="E537" s="21" t="n">
        <v>106.1478825</v>
      </c>
      <c r="F537" s="21" t="n">
        <v>0</v>
      </c>
    </row>
    <row r="538" customFormat="false" ht="15" hidden="false" customHeight="false" outlineLevel="0" collapsed="false">
      <c r="A538" s="48" t="n">
        <v>46295</v>
      </c>
      <c r="B538" s="49" t="s">
        <v>108</v>
      </c>
      <c r="C538" s="49" t="s">
        <v>55</v>
      </c>
      <c r="D538" s="19" t="n">
        <v>955330.9423</v>
      </c>
      <c r="E538" s="21" t="n">
        <v>68.23792445</v>
      </c>
      <c r="F538" s="21" t="n">
        <v>0</v>
      </c>
    </row>
    <row r="539" customFormat="false" ht="15" hidden="false" customHeight="false" outlineLevel="0" collapsed="false">
      <c r="A539" s="48" t="n">
        <v>46295</v>
      </c>
      <c r="B539" s="49" t="s">
        <v>108</v>
      </c>
      <c r="C539" s="49" t="s">
        <v>56</v>
      </c>
      <c r="D539" s="19" t="n">
        <v>349306.89695</v>
      </c>
      <c r="E539" s="21" t="n">
        <v>43.66336212</v>
      </c>
      <c r="F539" s="21" t="n">
        <v>0</v>
      </c>
    </row>
    <row r="540" customFormat="false" ht="15" hidden="false" customHeight="false" outlineLevel="0" collapsed="false">
      <c r="A540" s="48" t="n">
        <v>46295</v>
      </c>
      <c r="B540" s="49" t="s">
        <v>108</v>
      </c>
      <c r="C540" s="49" t="s">
        <v>57</v>
      </c>
      <c r="D540" s="19" t="n">
        <v>6293784.217</v>
      </c>
      <c r="E540" s="21" t="n">
        <v>406.0505946</v>
      </c>
      <c r="F540" s="21" t="n">
        <v>0</v>
      </c>
    </row>
    <row r="541" customFormat="false" ht="15" hidden="false" customHeight="false" outlineLevel="0" collapsed="false">
      <c r="A541" s="48" t="n">
        <v>46295</v>
      </c>
      <c r="B541" s="49" t="s">
        <v>108</v>
      </c>
      <c r="C541" s="49" t="s">
        <v>58</v>
      </c>
      <c r="D541" s="19" t="n">
        <v>1940593.872</v>
      </c>
      <c r="E541" s="21" t="n">
        <v>373.19112925</v>
      </c>
      <c r="F541" s="2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2026-09-14T21:11:21Z</dcterms:created>
  <dc:creator>openpyxl</dc:creator>
  <dc:description/>
  <dc:language>en-US</dc:language>
  <cp:lastModifiedBy/>
  <dcterms:modified xsi:type="dcterms:W3CDTF">2026-09-14T21:11:21Z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