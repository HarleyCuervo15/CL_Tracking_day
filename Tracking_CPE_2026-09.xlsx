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AQUETA" sheetId="2" state="visible" r:id="rId2"/>
    <sheet xmlns:r="http://schemas.openxmlformats.org/officeDocument/2006/relationships" name="CURVA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ARAMETROS" sheetId="5" state="visible" r:id="rId5"/>
    <sheet xmlns:r="http://schemas.openxmlformats.org/officeDocument/2006/relationships" name="DIARIO" sheetId="6" state="visible" r:id="rId6"/>
    <sheet xmlns:r="http://schemas.openxmlformats.org/officeDocument/2006/relationships" name="METAS_D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#,##0.0"/>
    <numFmt numFmtId="167" formatCode="0.0000"/>
    <numFmt numFmtId="168" formatCode="d mmm yyyy"/>
    <numFmt numFmtId="169" formatCode="+0%;-0%;0%"/>
  </numFmts>
  <fonts count="19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sz val="9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color rgb="001F3864"/>
      <sz val="20"/>
    </font>
    <font>
      <name val="Arial"/>
      <color rgb="007F7F7F"/>
      <sz val="10"/>
    </font>
    <font>
      <name val="Arial"/>
      <b val="1"/>
      <color rgb="001F3864"/>
      <sz val="11"/>
    </font>
    <font>
      <name val="Arial"/>
      <b val="1"/>
      <color rgb="00843C0C"/>
      <sz val="11"/>
    </font>
    <font>
      <name val="Arial"/>
      <b val="1"/>
      <color rgb="001F3864"/>
      <sz val="12"/>
      <u val="single"/>
    </font>
    <font>
      <name val="Arial"/>
      <b val="1"/>
      <color rgb="00FFFFFF"/>
      <sz val="10"/>
    </font>
    <font>
      <name val="Arial"/>
      <b val="1"/>
      <sz val="8"/>
    </font>
    <font>
      <name val="Arial"/>
      <i val="1"/>
      <color rgb="007F7F7F"/>
      <sz val="8"/>
    </font>
    <font>
      <name val="Arial"/>
      <b val="1"/>
      <color rgb="00C00000"/>
      <sz val="12"/>
      <u val="single"/>
    </font>
    <font>
      <name val="Arial"/>
      <i val="1"/>
      <color rgb="00C00000"/>
      <sz val="8"/>
    </font>
    <font>
      <name val="Arial"/>
      <b val="1"/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2E9BE0"/>
      </patternFill>
    </fill>
    <fill>
      <patternFill patternType="solid">
        <fgColor rgb="00FFC7CE"/>
      </patternFill>
    </fill>
    <fill>
      <patternFill patternType="solid">
        <fgColor rgb="00DEEAF6"/>
      </patternFill>
    </fill>
    <fill>
      <patternFill patternType="solid">
        <fgColor rgb="00F2F7FC"/>
      </patternFill>
    </fill>
    <fill>
      <patternFill patternType="solid">
        <fgColor rgb="00FFF2CC"/>
      </patternFill>
    </fill>
    <fill>
      <patternFill patternType="solid">
        <fgColor rgb="00FFFBF0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bottom style="thin">
        <color rgb="00BFBFBF"/>
      </bottom>
    </border>
    <border>
      <top style="thin"/>
    </border>
    <border>
      <left style="thick">
        <color rgb="001F3864"/>
      </left>
    </border>
    <border>
      <left style="thick">
        <color rgb="00FFC000"/>
      </lef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10" fillId="7" borderId="3" pivotButton="0" quotePrefix="0" xfId="0"/>
    <xf numFmtId="0" fontId="11" fillId="9" borderId="4" pivotButton="0" quotePrefix="0" xfId="0"/>
    <xf numFmtId="0" fontId="2" fillId="8" borderId="3" pivotButton="0" quotePrefix="0" xfId="0"/>
    <xf numFmtId="165" fontId="2" fillId="8" borderId="0" pivotButton="0" quotePrefix="0" xfId="0"/>
    <xf numFmtId="0" fontId="0" fillId="8" borderId="0" pivotButton="0" quotePrefix="0" xfId="0"/>
    <xf numFmtId="3" fontId="2" fillId="8" borderId="0" pivotButton="0" quotePrefix="0" xfId="0"/>
    <xf numFmtId="0" fontId="2" fillId="10" borderId="4" pivotButton="0" quotePrefix="0" xfId="0"/>
    <xf numFmtId="165" fontId="2" fillId="10" borderId="0" pivotButton="0" quotePrefix="0" xfId="0"/>
    <xf numFmtId="0" fontId="0" fillId="10" borderId="0" pivotButton="0" quotePrefix="0" xfId="0"/>
    <xf numFmtId="9" fontId="1" fillId="8" borderId="0" pivotButton="0" quotePrefix="0" xfId="0"/>
    <xf numFmtId="0" fontId="12" fillId="0" borderId="0" pivotButton="0" quotePrefix="0" xfId="0"/>
    <xf numFmtId="0" fontId="13" fillId="11" borderId="0" pivotButton="0" quotePrefix="0" xfId="0"/>
    <xf numFmtId="0" fontId="13" fillId="11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1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3" fontId="2" fillId="0" borderId="0" pivotButton="0" quotePrefix="0" xfId="0"/>
    <xf numFmtId="0" fontId="1" fillId="0" borderId="2" pivotButton="0" quotePrefix="0" xfId="0"/>
    <xf numFmtId="165" fontId="1" fillId="0" borderId="2" pivotButton="0" quotePrefix="0" xfId="0"/>
    <xf numFmtId="9" fontId="1" fillId="0" borderId="2" pivotButton="0" quotePrefix="0" xfId="0"/>
    <xf numFmtId="3" fontId="1" fillId="0" borderId="2" pivotButton="0" quotePrefix="0" xfId="0"/>
    <xf numFmtId="0" fontId="15" fillId="0" borderId="0" pivotButton="0" quotePrefix="0" xfId="0"/>
    <xf numFmtId="0" fontId="16" fillId="0" borderId="0" pivotButton="0" quotePrefix="0" xfId="0"/>
    <xf numFmtId="0" fontId="14" fillId="12" borderId="0" applyAlignment="1" pivotButton="0" quotePrefix="0" xfId="0">
      <alignment horizontal="center"/>
    </xf>
    <xf numFmtId="169" fontId="2" fillId="0" borderId="0" pivotButton="0" quotePrefix="0" xfId="0"/>
    <xf numFmtId="169" fontId="1" fillId="0" borderId="2" pivotButton="0" quotePrefix="0" xfId="0"/>
    <xf numFmtId="0" fontId="17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0" pivotButton="0" quotePrefix="0" xfId="0"/>
    <xf numFmtId="0" fontId="18" fillId="13" borderId="0" applyAlignment="1" pivotButton="0" quotePrefix="0" xfId="0">
      <alignment horizontal="center" vertical="center"/>
    </xf>
    <xf numFmtId="166" fontId="2" fillId="0" borderId="0" pivotButton="0" quotePrefix="0" xfId="0"/>
    <xf numFmtId="166" fontId="1" fillId="0" borderId="2" pivotButton="0" quotePrefix="0" xfId="0"/>
    <xf numFmtId="0" fontId="3" fillId="5" borderId="0" applyAlignment="1" pivotButton="0" quotePrefix="0" xfId="0">
      <alignment horizontal="center" vertical="center"/>
    </xf>
    <xf numFmtId="168" fontId="2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RESUMEN GENERAL</t>
        </is>
      </c>
      <c r="J1" s="2">
        <f>"Fecha de evaluación: "&amp;TEXT(PARAMETROS!$B$9,"DD/MM/YYYY")</f>
        <v/>
      </c>
    </row>
    <row r="2">
      <c r="A2" s="3" t="inlineStr">
        <is>
          <t>Performance CL | Seguimiento · septiembre 2026</t>
        </is>
      </c>
    </row>
    <row r="4">
      <c r="A4" s="4" t="inlineStr">
        <is>
          <t>INVERSIÓN</t>
        </is>
      </c>
      <c r="D4" s="4" t="inlineStr">
        <is>
          <t>LEADS GENERADOS</t>
        </is>
      </c>
      <c r="G4" s="4" t="inlineStr">
        <is>
          <t>EMISIONES / NETOS</t>
        </is>
      </c>
      <c r="J4" s="4" t="inlineStr">
        <is>
          <t>VENTAS (solo con meta)</t>
        </is>
      </c>
      <c r="M4" s="5" t="inlineStr">
        <is>
          <t>COSTOS</t>
        </is>
      </c>
    </row>
    <row r="5">
      <c r="A5" s="6" t="inlineStr">
        <is>
          <t>Real corte</t>
        </is>
      </c>
      <c r="B5" s="7">
        <f>(SUMIFS(DIARIO!$D$2:$D$123,DIARIO!$B$2:$B$123,"MOVIL")+SUMIFS(DIARIO!$D$2:$D$123,DIARIO!$B$2:$B$123,"FIJO")+SUMIFS(DIARIO!$D$2:$D$123,DIARIO!$B$2:$B$123,"MIXTO"))</f>
        <v/>
      </c>
      <c r="C5" s="8" t="n"/>
      <c r="D5" s="6" t="inlineStr">
        <is>
          <t>Real corte</t>
        </is>
      </c>
      <c r="E5" s="9">
        <f>(SUMIFS(DIARIO!$E$2:$E$123,DIARIO!$B$2:$B$123,"MOVIL")+SUMIFS(DIARIO!$E$2:$E$123,DIARIO!$B$2:$B$123,"FIJO")+SUMIFS(DIARIO!$E$2:$E$123,DIARIO!$B$2:$B$123,"MIXTO"))</f>
        <v/>
      </c>
      <c r="F5" s="8" t="n"/>
      <c r="G5" s="6" t="inlineStr">
        <is>
          <t>Real corte</t>
        </is>
      </c>
      <c r="H5" s="9">
        <f>(SUMIFS(DIARIO!$G$2:$G$123,DIARIO!$B$2:$B$123,"MOVIL")+SUMIFS(DIARIO!$G$2:$G$123,DIARIO!$B$2:$B$123,"FIJO")+SUMIFS(DIARIO!$G$2:$G$123,DIARIO!$B$2:$B$123,"MIXTO"))</f>
        <v/>
      </c>
      <c r="I5" s="8" t="n"/>
      <c r="J5" s="6" t="inlineStr">
        <is>
          <t>Real corte</t>
        </is>
      </c>
      <c r="K5" s="9">
        <f>SUMIF($K$14:$K$16,"&gt;0",$L$14:$L$16)/PARAMETROS!$B$7</f>
        <v/>
      </c>
      <c r="L5" s="8" t="n"/>
      <c r="M5" s="10" t="inlineStr">
        <is>
          <t>CPL Meta</t>
        </is>
      </c>
      <c r="N5" s="11">
        <f>IFERROR((SUMIFS(METAS_DIA!$D$2:$D$361,METAS_DIA!$B$2:$B$361,"MOVIL")+SUMIFS(METAS_DIA!$D$2:$D$361,METAS_DIA!$B$2:$B$361,"FIJO")+SUMIFS(METAS_DIA!$D$2:$D$361,METAS_DIA!$B$2:$B$361,"MIXTO"))/(SUMIFS(METAS_DIA!$E$2:$E$361,METAS_DIA!$B$2:$B$361,"MOVIL")+SUMIFS(METAS_DIA!$E$2:$E$361,METAS_DIA!$B$2:$B$361,"FIJO")+SUMIFS(METAS_DIA!$E$2:$E$361,METAS_DIA!$B$2:$B$361,"MIXTO")),0)</f>
        <v/>
      </c>
      <c r="O5" s="12" t="n"/>
    </row>
    <row r="6">
      <c r="A6" s="6" t="inlineStr">
        <is>
          <t>Meta mes</t>
        </is>
      </c>
      <c r="B6" s="7">
        <f>(SUMIFS(METAS_DIA!$D$2:$D$361,METAS_DIA!$B$2:$B$361,"MOVIL")+SUMIFS(METAS_DIA!$D$2:$D$361,METAS_DIA!$B$2:$B$361,"FIJO")+SUMIFS(METAS_DIA!$D$2:$D$361,METAS_DIA!$B$2:$B$361,"MIXTO"))</f>
        <v/>
      </c>
      <c r="C6" s="8" t="n"/>
      <c r="D6" s="6" t="inlineStr">
        <is>
          <t>Meta mes</t>
        </is>
      </c>
      <c r="E6" s="9">
        <f>(SUMIFS(METAS_DIA!$E$2:$E$361,METAS_DIA!$B$2:$B$361,"MOVIL")+SUMIFS(METAS_DIA!$E$2:$E$361,METAS_DIA!$B$2:$B$361,"FIJO")+SUMIFS(METAS_DIA!$E$2:$E$361,METAS_DIA!$B$2:$B$361,"MIXTO"))</f>
        <v/>
      </c>
      <c r="F6" s="8" t="n"/>
      <c r="G6" s="6" t="inlineStr">
        <is>
          <t>Meta mes</t>
        </is>
      </c>
      <c r="H6" s="9" t="inlineStr">
        <is>
          <t>0</t>
        </is>
      </c>
      <c r="I6" s="8" t="n"/>
      <c r="J6" s="6" t="inlineStr">
        <is>
          <t>Meta mes</t>
        </is>
      </c>
      <c r="K6" s="9">
        <f>SUMIF($K$14:$K$16,"&gt;0",$K$14:$K$16)</f>
        <v/>
      </c>
      <c r="L6" s="8" t="n"/>
      <c r="M6" s="10" t="inlineStr">
        <is>
          <t>CPL Proy.</t>
        </is>
      </c>
      <c r="N6" s="11">
        <f>IFERROR((SUMIFS(DIARIO!$D$2:$D$123,DIARIO!$B$2:$B$123,"MOVIL")+SUMIFS(DIARIO!$D$2:$D$123,DIARIO!$B$2:$B$123,"FIJO")+SUMIFS(DIARIO!$D$2:$D$123,DIARIO!$B$2:$B$123,"MIXTO"))/(SUMIFS(DIARIO!$E$2:$E$123,DIARIO!$B$2:$B$123,"MOVIL")+SUMIFS(DIARIO!$E$2:$E$123,DIARIO!$B$2:$B$123,"FIJO")+SUMIFS(DIARIO!$E$2:$E$123,DIARIO!$B$2:$B$123,"MIXTO")),0)</f>
        <v/>
      </c>
      <c r="O6" s="12" t="n"/>
    </row>
    <row r="7">
      <c r="A7" s="6" t="inlineStr">
        <is>
          <t>Proy. cierre</t>
        </is>
      </c>
      <c r="B7" s="7">
        <f>(SUMIFS(DIARIO!$D$2:$D$123,DIARIO!$B$2:$B$123,"MOVIL")+SUMIFS(DIARIO!$D$2:$D$123,DIARIO!$B$2:$B$123,"FIJO")+SUMIFS(DIARIO!$D$2:$D$123,DIARIO!$B$2:$B$123,"MIXTO"))*PARAMETROS!$B$7</f>
        <v/>
      </c>
      <c r="C7" s="8" t="n"/>
      <c r="D7" s="6" t="inlineStr">
        <is>
          <t>Proy. cierre</t>
        </is>
      </c>
      <c r="E7" s="9">
        <f>(SUMIFS(DIARIO!$E$2:$E$123,DIARIO!$B$2:$B$123,"MOVIL")+SUMIFS(DIARIO!$E$2:$E$123,DIARIO!$B$2:$B$123,"FIJO")+SUMIFS(DIARIO!$E$2:$E$123,DIARIO!$B$2:$B$123,"MIXTO"))*PARAMETROS!$B$7</f>
        <v/>
      </c>
      <c r="F7" s="8" t="n"/>
      <c r="G7" s="6" t="inlineStr">
        <is>
          <t>Proy. cierre</t>
        </is>
      </c>
      <c r="H7" s="9">
        <f>(SUMIFS(DIARIO!$G$2:$G$123,DIARIO!$B$2:$B$123,"MOVIL")+SUMIFS(DIARIO!$G$2:$G$123,DIARIO!$B$2:$B$123,"FIJO")+SUMIFS(DIARIO!$G$2:$G$123,DIARIO!$B$2:$B$123,"MIXTO"))*PARAMETROS!$B$7</f>
        <v/>
      </c>
      <c r="I7" s="8" t="n"/>
      <c r="J7" s="6" t="inlineStr">
        <is>
          <t>Proy. cierre</t>
        </is>
      </c>
      <c r="K7" s="9">
        <f>SUMIF($K$14:$K$16,"&gt;0",$L$14:$L$16)</f>
        <v/>
      </c>
      <c r="L7" s="8" t="n"/>
      <c r="M7" s="10" t="inlineStr">
        <is>
          <t>CPA Meta</t>
        </is>
      </c>
      <c r="N7" s="11">
        <f>IFERROR(SUMIF($K$14:$K$16,"&gt;0",$B$14:$B$16)/SUMIF($K$14:$K$16,"&gt;0",$K$14:$K$16),0)</f>
        <v/>
      </c>
      <c r="O7" s="12" t="n"/>
    </row>
    <row r="8">
      <c r="A8" s="6" t="inlineStr">
        <is>
          <t>Cumpl. proy.</t>
        </is>
      </c>
      <c r="B8" s="13">
        <f>IFERROR(B7/B6,0)</f>
        <v/>
      </c>
      <c r="C8" s="8" t="n"/>
      <c r="D8" s="6" t="inlineStr">
        <is>
          <t>Cumpl. proy.</t>
        </is>
      </c>
      <c r="E8" s="13">
        <f>IFERROR(E7/E6,0)</f>
        <v/>
      </c>
      <c r="F8" s="8" t="n"/>
      <c r="G8" s="6" t="inlineStr">
        <is>
          <t>Cumpl. proy.</t>
        </is>
      </c>
      <c r="H8" s="13">
        <f>IFERROR(H7/H6,0)</f>
        <v/>
      </c>
      <c r="I8" s="8" t="n"/>
      <c r="J8" s="6" t="inlineStr">
        <is>
          <t>Cumpl. proy.</t>
        </is>
      </c>
      <c r="K8" s="13">
        <f>IFERROR(K7/K6,0)</f>
        <v/>
      </c>
      <c r="L8" s="8" t="n"/>
      <c r="M8" s="10" t="inlineStr">
        <is>
          <t>CPA Proy.</t>
        </is>
      </c>
      <c r="N8" s="11">
        <f>IFERROR(SUMIF($K$14:$K$16,"&gt;0",$C$14:$C$16)/SUMIF($K$14:$K$16,"&gt;0",$L$14:$L$16),0)</f>
        <v/>
      </c>
      <c r="O8" s="12" t="n"/>
    </row>
    <row r="11">
      <c r="A11" s="14" t="inlineStr">
        <is>
          <t>Cumplimiento por producto</t>
        </is>
      </c>
    </row>
    <row r="12">
      <c r="A12" s="15" t="inlineStr">
        <is>
          <t>Producto</t>
        </is>
      </c>
      <c r="B12" s="16" t="inlineStr">
        <is>
          <t>Presupuesto</t>
        </is>
      </c>
      <c r="E12" s="16" t="inlineStr">
        <is>
          <t>Leads</t>
        </is>
      </c>
      <c r="H12" s="16" t="inlineStr">
        <is>
          <t>Emitidos</t>
        </is>
      </c>
      <c r="K12" s="16" t="inlineStr">
        <is>
          <t>Ventas</t>
        </is>
      </c>
    </row>
    <row r="13">
      <c r="B13" s="17" t="inlineStr">
        <is>
          <t>Meta</t>
        </is>
      </c>
      <c r="C13" s="17" t="inlineStr">
        <is>
          <t>Proy.</t>
        </is>
      </c>
      <c r="D13" s="17" t="inlineStr">
        <is>
          <t>% cumpl.</t>
        </is>
      </c>
      <c r="E13" s="17" t="inlineStr">
        <is>
          <t>Meta</t>
        </is>
      </c>
      <c r="F13" s="17" t="inlineStr">
        <is>
          <t>Proy.</t>
        </is>
      </c>
      <c r="G13" s="17" t="inlineStr">
        <is>
          <t>% cumpl.</t>
        </is>
      </c>
      <c r="H13" s="17" t="inlineStr">
        <is>
          <t>Meta</t>
        </is>
      </c>
      <c r="I13" s="17" t="inlineStr">
        <is>
          <t>Proy.</t>
        </is>
      </c>
      <c r="J13" s="17" t="inlineStr">
        <is>
          <t>% cumpl.</t>
        </is>
      </c>
      <c r="K13" s="17" t="inlineStr">
        <is>
          <t>Meta</t>
        </is>
      </c>
      <c r="L13" s="17" t="inlineStr">
        <is>
          <t>Proy.</t>
        </is>
      </c>
      <c r="M13" s="17" t="inlineStr">
        <is>
          <t>% cumpl.</t>
        </is>
      </c>
    </row>
    <row r="14">
      <c r="A14" s="18" t="inlineStr">
        <is>
          <t>MÓVIL</t>
        </is>
      </c>
      <c r="B14" s="19">
        <f>SUMIFS(METAS_DIA!$D$2:$D$361,METAS_DIA!$B$2:$B$361,"MOVIL")</f>
        <v/>
      </c>
      <c r="C14" s="19">
        <f>SUMIFS(DIARIO!$D$2:$D$123,DIARIO!$B$2:$B$123,"MOVIL")*PARAMETROS!$B$7</f>
        <v/>
      </c>
      <c r="D14" s="20">
        <f>IFERROR(C14/B14,0)</f>
        <v/>
      </c>
      <c r="E14" s="21">
        <f>SUMIFS(METAS_DIA!$E$2:$E$361,METAS_DIA!$B$2:$B$361,"MOVIL")</f>
        <v/>
      </c>
      <c r="F14" s="21">
        <f>SUMIFS(DIARIO!$E$2:$E$123,DIARIO!$B$2:$B$123,"MOVIL")*PARAMETROS!$B$7</f>
        <v/>
      </c>
      <c r="G14" s="20">
        <f>IFERROR(F14/E14,0)</f>
        <v/>
      </c>
      <c r="H14" s="21" t="inlineStr">
        <is>
          <t>0</t>
        </is>
      </c>
      <c r="I14" s="21">
        <f>SUMIFS(DIARIO!$G$2:$G$123,DIARIO!$B$2:$B$123,"MOVIL")*PARAMETROS!$B$7</f>
        <v/>
      </c>
      <c r="J14" s="20">
        <f>IFERROR(I14/H14,0)</f>
        <v/>
      </c>
      <c r="K14" s="21">
        <f>SUMIFS(METAS_DIA!$F$2:$F$361,METAS_DIA!$B$2:$B$361,"MOVIL")</f>
        <v/>
      </c>
      <c r="L14" s="21">
        <f>SUMIFS(DIARIO!$H$2:$H$123,DIARIO!$B$2:$B$123,"MOVIL")*PARAMETROS!$B$7</f>
        <v/>
      </c>
      <c r="M14" s="20">
        <f>IFERROR(L14/K14,0)</f>
        <v/>
      </c>
    </row>
    <row r="15">
      <c r="A15" s="18" t="inlineStr">
        <is>
          <t>FIJO</t>
        </is>
      </c>
      <c r="B15" s="19">
        <f>SUMIFS(METAS_DIA!$D$2:$D$361,METAS_DIA!$B$2:$B$361,"FIJO")</f>
        <v/>
      </c>
      <c r="C15" s="19">
        <f>SUMIFS(DIARIO!$D$2:$D$123,DIARIO!$B$2:$B$123,"FIJO")*PARAMETROS!$B$7</f>
        <v/>
      </c>
      <c r="D15" s="20">
        <f>IFERROR(C15/B15,0)</f>
        <v/>
      </c>
      <c r="E15" s="21">
        <f>SUMIFS(METAS_DIA!$E$2:$E$361,METAS_DIA!$B$2:$B$361,"FIJO")</f>
        <v/>
      </c>
      <c r="F15" s="21">
        <f>SUMIFS(DIARIO!$E$2:$E$123,DIARIO!$B$2:$B$123,"FIJO")*PARAMETROS!$B$7</f>
        <v/>
      </c>
      <c r="G15" s="20">
        <f>IFERROR(F15/E15,0)</f>
        <v/>
      </c>
      <c r="H15" s="21" t="inlineStr">
        <is>
          <t>0</t>
        </is>
      </c>
      <c r="I15" s="21">
        <f>SUMIFS(DIARIO!$G$2:$G$123,DIARIO!$B$2:$B$123,"FIJO")*PARAMETROS!$B$7</f>
        <v/>
      </c>
      <c r="J15" s="20">
        <f>IFERROR(I15/H15,0)</f>
        <v/>
      </c>
      <c r="K15" s="21">
        <f>SUMIFS(METAS_DIA!$F$2:$F$361,METAS_DIA!$B$2:$B$361,"FIJO")</f>
        <v/>
      </c>
      <c r="L15" s="21">
        <f>SUMIFS(DIARIO!$H$2:$H$123,DIARIO!$B$2:$B$123,"FIJO")*PARAMETROS!$B$7</f>
        <v/>
      </c>
      <c r="M15" s="20">
        <f>IFERROR(L15/K15,0)</f>
        <v/>
      </c>
    </row>
    <row r="16">
      <c r="A16" s="18" t="inlineStr">
        <is>
          <t>MIXTO</t>
        </is>
      </c>
      <c r="B16" s="19">
        <f>SUMIFS(METAS_DIA!$D$2:$D$361,METAS_DIA!$B$2:$B$361,"MIXTO")</f>
        <v/>
      </c>
      <c r="C16" s="19">
        <f>SUMIFS(DIARIO!$D$2:$D$123,DIARIO!$B$2:$B$123,"MIXTO")*PARAMETROS!$B$7</f>
        <v/>
      </c>
      <c r="D16" s="20">
        <f>IFERROR(C16/B16,0)</f>
        <v/>
      </c>
      <c r="E16" s="21">
        <f>SUMIFS(METAS_DIA!$E$2:$E$361,METAS_DIA!$B$2:$B$361,"MIXTO")</f>
        <v/>
      </c>
      <c r="F16" s="21">
        <f>SUMIFS(DIARIO!$E$2:$E$123,DIARIO!$B$2:$B$123,"MIXTO")*PARAMETROS!$B$7</f>
        <v/>
      </c>
      <c r="G16" s="20">
        <f>IFERROR(F16/E16,0)</f>
        <v/>
      </c>
      <c r="H16" s="21" t="inlineStr">
        <is>
          <t>0</t>
        </is>
      </c>
      <c r="I16" s="21">
        <f>SUMIFS(DIARIO!$G$2:$G$123,DIARIO!$B$2:$B$123,"MIXTO")*PARAMETROS!$B$7</f>
        <v/>
      </c>
      <c r="J16" s="20">
        <f>IFERROR(I16/H16,0)</f>
        <v/>
      </c>
      <c r="K16" s="21">
        <f>SUMIFS(METAS_DIA!$F$2:$F$361,METAS_DIA!$B$2:$B$361,"MIXTO")</f>
        <v/>
      </c>
      <c r="L16" s="21">
        <f>SUMIFS(DIARIO!$H$2:$H$123,DIARIO!$B$2:$B$123,"MIXTO")*PARAMETROS!$B$7</f>
        <v/>
      </c>
      <c r="M16" s="20">
        <f>IFERROR(L16/K16,0)</f>
        <v/>
      </c>
    </row>
    <row r="17">
      <c r="A17" s="22" t="inlineStr">
        <is>
          <t>TOTAL</t>
        </is>
      </c>
      <c r="B17" s="23">
        <f>(SUMIFS(METAS_DIA!$D$2:$D$361,METAS_DIA!$B$2:$B$361,"MOVIL")+SUMIFS(METAS_DIA!$D$2:$D$361,METAS_DIA!$B$2:$B$361,"FIJO")+SUMIFS(METAS_DIA!$D$2:$D$361,METAS_DIA!$B$2:$B$361,"MIXTO"))</f>
        <v/>
      </c>
      <c r="C17" s="23">
        <f>(SUMIFS(DIARIO!$D$2:$D$123,DIARIO!$B$2:$B$123,"MOVIL")+SUMIFS(DIARIO!$D$2:$D$123,DIARIO!$B$2:$B$123,"FIJO")+SUMIFS(DIARIO!$D$2:$D$123,DIARIO!$B$2:$B$123,"MIXTO"))*PARAMETROS!$B$7</f>
        <v/>
      </c>
      <c r="D17" s="24">
        <f>IFERROR(C17/B17,0)</f>
        <v/>
      </c>
      <c r="E17" s="25">
        <f>(SUMIFS(METAS_DIA!$E$2:$E$361,METAS_DIA!$B$2:$B$361,"MOVIL")+SUMIFS(METAS_DIA!$E$2:$E$361,METAS_DIA!$B$2:$B$361,"FIJO")+SUMIFS(METAS_DIA!$E$2:$E$361,METAS_DIA!$B$2:$B$361,"MIXTO"))</f>
        <v/>
      </c>
      <c r="F17" s="25">
        <f>(SUMIFS(DIARIO!$E$2:$E$123,DIARIO!$B$2:$B$123,"MOVIL")+SUMIFS(DIARIO!$E$2:$E$123,DIARIO!$B$2:$B$123,"FIJO")+SUMIFS(DIARIO!$E$2:$E$123,DIARIO!$B$2:$B$123,"MIXTO"))*PARAMETROS!$B$7</f>
        <v/>
      </c>
      <c r="G17" s="24">
        <f>IFERROR(F17/E17,0)</f>
        <v/>
      </c>
      <c r="H17" s="25" t="inlineStr">
        <is>
          <t>0</t>
        </is>
      </c>
      <c r="I17" s="25">
        <f>(SUMIFS(DIARIO!$G$2:$G$123,DIARIO!$B$2:$B$123,"MOVIL")+SUMIFS(DIARIO!$G$2:$G$123,DIARIO!$B$2:$B$123,"FIJO")+SUMIFS(DIARIO!$G$2:$G$123,DIARIO!$B$2:$B$123,"MIXTO"))*PARAMETROS!$B$7</f>
        <v/>
      </c>
      <c r="J17" s="24">
        <f>IFERROR(I17/H17,0)</f>
        <v/>
      </c>
      <c r="K17" s="25">
        <f>SUMIF($K$14:$K$16,"&gt;0",$K$14:$K$16)</f>
        <v/>
      </c>
      <c r="L17" s="25">
        <f>SUMIF($K$14:$K$16,"&gt;0",$L$14:$L$16)</f>
        <v/>
      </c>
      <c r="M17" s="24">
        <f>IFERROR(L17/K17,0)</f>
        <v/>
      </c>
    </row>
    <row r="18">
      <c r="A18" s="26" t="inlineStr">
        <is>
          <t>TOTAL = Móvil + Fijo + Mixto. Los bloques están puros, Mixto no se reparte.</t>
        </is>
      </c>
    </row>
    <row r="20">
      <c r="A20" s="27" t="inlineStr">
        <is>
          <t>Costos</t>
        </is>
      </c>
    </row>
    <row r="21">
      <c r="A21" s="15" t="inlineStr">
        <is>
          <t>Producto</t>
        </is>
      </c>
      <c r="B21" s="16" t="inlineStr">
        <is>
          <t>CPL</t>
        </is>
      </c>
      <c r="E21" s="16" t="inlineStr">
        <is>
          <t>CPE</t>
        </is>
      </c>
      <c r="H21" s="16" t="inlineStr">
        <is>
          <t>CPA</t>
        </is>
      </c>
    </row>
    <row r="22">
      <c r="B22" s="28" t="inlineStr">
        <is>
          <t>Meta</t>
        </is>
      </c>
      <c r="C22" s="28" t="inlineStr">
        <is>
          <t>Proy.</t>
        </is>
      </c>
      <c r="D22" s="28" t="inlineStr">
        <is>
          <t>Var %</t>
        </is>
      </c>
      <c r="E22" s="28" t="inlineStr">
        <is>
          <t>Meta</t>
        </is>
      </c>
      <c r="F22" s="28" t="inlineStr">
        <is>
          <t>Proy.</t>
        </is>
      </c>
      <c r="G22" s="28" t="inlineStr">
        <is>
          <t>Var %</t>
        </is>
      </c>
      <c r="H22" s="28" t="inlineStr">
        <is>
          <t>Meta</t>
        </is>
      </c>
      <c r="I22" s="28" t="inlineStr">
        <is>
          <t>Proy.</t>
        </is>
      </c>
      <c r="J22" s="28" t="inlineStr">
        <is>
          <t>Var %</t>
        </is>
      </c>
    </row>
    <row r="23">
      <c r="A23" s="18" t="inlineStr">
        <is>
          <t>MÓVIL</t>
        </is>
      </c>
      <c r="B23" s="19">
        <f>IFERROR(SUMIFS(METAS_DIA!$D$2:$D$361,METAS_DIA!$B$2:$B$361,"MOVIL")/SUMIFS(METAS_DIA!$E$2:$E$361,METAS_DIA!$B$2:$B$361,"MOVIL"),0)</f>
        <v/>
      </c>
      <c r="C23" s="19">
        <f>IFERROR(SUMIFS(DIARIO!$D$2:$D$123,DIARIO!$B$2:$B$123,"MOVIL")/SUMIFS(DIARIO!$E$2:$E$123,DIARIO!$B$2:$B$123,"MOVIL"),0)</f>
        <v/>
      </c>
      <c r="D23" s="29">
        <f>IFERROR(C23/B23-1,0)</f>
        <v/>
      </c>
      <c r="E23" s="19" t="inlineStr">
        <is>
          <t>0</t>
        </is>
      </c>
      <c r="F23" s="19">
        <f>IFERROR(SUMIFS(DIARIO!$D$2:$D$123,DIARIO!$B$2:$B$123,"MOVIL")/SUMIFS(DIARIO!$G$2:$G$123,DIARIO!$B$2:$B$123,"MOVIL"),0)</f>
        <v/>
      </c>
      <c r="G23" s="29">
        <f>IFERROR(F23/E23-1,0)</f>
        <v/>
      </c>
      <c r="H23" s="19">
        <f>IFERROR(SUMIFS(METAS_DIA!$D$2:$D$361,METAS_DIA!$B$2:$B$361,"MOVIL")/SUMIFS(METAS_DIA!$F$2:$F$361,METAS_DIA!$B$2:$B$361,"MOVIL"),0)</f>
        <v/>
      </c>
      <c r="I23" s="19">
        <f>IFERROR(SUMIFS(DIARIO!$D$2:$D$123,DIARIO!$B$2:$B$123,"MOVIL")/SUMIFS(DIARIO!$H$2:$H$123,DIARIO!$B$2:$B$123,"MOVIL"),0)</f>
        <v/>
      </c>
      <c r="J23" s="29">
        <f>IFERROR(I23/H23-1,0)</f>
        <v/>
      </c>
    </row>
    <row r="24">
      <c r="A24" s="18" t="inlineStr">
        <is>
          <t>FIJO</t>
        </is>
      </c>
      <c r="B24" s="19">
        <f>IFERROR(SUMIFS(METAS_DIA!$D$2:$D$361,METAS_DIA!$B$2:$B$361,"FIJO")/SUMIFS(METAS_DIA!$E$2:$E$361,METAS_DIA!$B$2:$B$361,"FIJO"),0)</f>
        <v/>
      </c>
      <c r="C24" s="19">
        <f>IFERROR(SUMIFS(DIARIO!$D$2:$D$123,DIARIO!$B$2:$B$123,"FIJO")/SUMIFS(DIARIO!$E$2:$E$123,DIARIO!$B$2:$B$123,"FIJO"),0)</f>
        <v/>
      </c>
      <c r="D24" s="29">
        <f>IFERROR(C24/B24-1,0)</f>
        <v/>
      </c>
      <c r="E24" s="19" t="inlineStr">
        <is>
          <t>0</t>
        </is>
      </c>
      <c r="F24" s="19">
        <f>IFERROR(SUMIFS(DIARIO!$D$2:$D$123,DIARIO!$B$2:$B$123,"FIJO")/SUMIFS(DIARIO!$G$2:$G$123,DIARIO!$B$2:$B$123,"FIJO"),0)</f>
        <v/>
      </c>
      <c r="G24" s="29">
        <f>IFERROR(F24/E24-1,0)</f>
        <v/>
      </c>
      <c r="H24" s="19">
        <f>IFERROR(SUMIFS(METAS_DIA!$D$2:$D$361,METAS_DIA!$B$2:$B$361,"FIJO")/SUMIFS(METAS_DIA!$F$2:$F$361,METAS_DIA!$B$2:$B$361,"FIJO"),0)</f>
        <v/>
      </c>
      <c r="I24" s="19">
        <f>IFERROR(SUMIFS(DIARIO!$D$2:$D$123,DIARIO!$B$2:$B$123,"FIJO")/SUMIFS(DIARIO!$H$2:$H$123,DIARIO!$B$2:$B$123,"FIJO"),0)</f>
        <v/>
      </c>
      <c r="J24" s="29">
        <f>IFERROR(I24/H24-1,0)</f>
        <v/>
      </c>
    </row>
    <row r="25">
      <c r="A25" s="18" t="inlineStr">
        <is>
          <t>MIXTO</t>
        </is>
      </c>
      <c r="B25" s="19">
        <f>IFERROR(SUMIFS(METAS_DIA!$D$2:$D$361,METAS_DIA!$B$2:$B$361,"MIXTO")/SUMIFS(METAS_DIA!$E$2:$E$361,METAS_DIA!$B$2:$B$361,"MIXTO"),0)</f>
        <v/>
      </c>
      <c r="C25" s="19">
        <f>IFERROR(SUMIFS(DIARIO!$D$2:$D$123,DIARIO!$B$2:$B$123,"MIXTO")/SUMIFS(DIARIO!$E$2:$E$123,DIARIO!$B$2:$B$123,"MIXTO"),0)</f>
        <v/>
      </c>
      <c r="D25" s="29">
        <f>IFERROR(C25/B25-1,0)</f>
        <v/>
      </c>
      <c r="E25" s="19" t="inlineStr">
        <is>
          <t>0</t>
        </is>
      </c>
      <c r="F25" s="19">
        <f>IFERROR(SUMIFS(DIARIO!$D$2:$D$123,DIARIO!$B$2:$B$123,"MIXTO")/SUMIFS(DIARIO!$G$2:$G$123,DIARIO!$B$2:$B$123,"MIXTO"),0)</f>
        <v/>
      </c>
      <c r="G25" s="29">
        <f>IFERROR(F25/E25-1,0)</f>
        <v/>
      </c>
      <c r="H25" s="19">
        <f>IFERROR(SUMIFS(METAS_DIA!$D$2:$D$361,METAS_DIA!$B$2:$B$361,"MIXTO")/SUMIFS(METAS_DIA!$F$2:$F$361,METAS_DIA!$B$2:$B$361,"MIXTO"),0)</f>
        <v/>
      </c>
      <c r="I25" s="19">
        <f>IFERROR(SUMIFS(DIARIO!$D$2:$D$123,DIARIO!$B$2:$B$123,"MIXTO")/SUMIFS(DIARIO!$H$2:$H$123,DIARIO!$B$2:$B$123,"MIXTO"),0)</f>
        <v/>
      </c>
      <c r="J25" s="29">
        <f>IFERROR(I25/H25-1,0)</f>
        <v/>
      </c>
    </row>
    <row r="26">
      <c r="A26" s="22" t="inlineStr">
        <is>
          <t>TOTAL</t>
        </is>
      </c>
      <c r="B26" s="23">
        <f>IFERROR((SUMIFS(METAS_DIA!$D$2:$D$361,METAS_DIA!$B$2:$B$361,"MOVIL")+SUMIFS(METAS_DIA!$D$2:$D$361,METAS_DIA!$B$2:$B$361,"FIJO")+SUMIFS(METAS_DIA!$D$2:$D$361,METAS_DIA!$B$2:$B$361,"MIXTO"))/(SUMIFS(METAS_DIA!$E$2:$E$361,METAS_DIA!$B$2:$B$361,"MOVIL")+SUMIFS(METAS_DIA!$E$2:$E$361,METAS_DIA!$B$2:$B$361,"FIJO")+SUMIFS(METAS_DIA!$E$2:$E$361,METAS_DIA!$B$2:$B$361,"MIXTO")),0)</f>
        <v/>
      </c>
      <c r="C26" s="23">
        <f>IFERROR((SUMIFS(DIARIO!$D$2:$D$123,DIARIO!$B$2:$B$123,"MOVIL")+SUMIFS(DIARIO!$D$2:$D$123,DIARIO!$B$2:$B$123,"FIJO")+SUMIFS(DIARIO!$D$2:$D$123,DIARIO!$B$2:$B$123,"MIXTO"))/(SUMIFS(DIARIO!$E$2:$E$123,DIARIO!$B$2:$B$123,"MOVIL")+SUMIFS(DIARIO!$E$2:$E$123,DIARIO!$B$2:$B$123,"FIJO")+SUMIFS(DIARIO!$E$2:$E$123,DIARIO!$B$2:$B$123,"MIXTO")),0)</f>
        <v/>
      </c>
      <c r="D26" s="30">
        <f>IFERROR(C26/B26-1,0)</f>
        <v/>
      </c>
      <c r="E26" s="23" t="inlineStr">
        <is>
          <t>0</t>
        </is>
      </c>
      <c r="F26" s="23">
        <f>IFERROR((SUMIFS(DIARIO!$D$2:$D$123,DIARIO!$B$2:$B$123,"MOVIL")+SUMIFS(DIARIO!$D$2:$D$123,DIARIO!$B$2:$B$123,"FIJO")+SUMIFS(DIARIO!$D$2:$D$123,DIARIO!$B$2:$B$123,"MIXTO"))/(SUMIFS(DIARIO!$G$2:$G$123,DIARIO!$B$2:$B$123,"MOVIL")+SUMIFS(DIARIO!$G$2:$G$123,DIARIO!$B$2:$B$123,"FIJO")+SUMIFS(DIARIO!$G$2:$G$123,DIARIO!$B$2:$B$123,"MIXTO")),0)</f>
        <v/>
      </c>
      <c r="G26" s="30">
        <f>IFERROR(F26/E26-1,0)</f>
        <v/>
      </c>
      <c r="H26" s="23">
        <f>IFERROR(SUMIF($K$14:$K$16,"&gt;0",$B$14:$B$16)/SUMIF($K$14:$K$16,"&gt;0",$K$14:$K$16),0)</f>
        <v/>
      </c>
      <c r="I26" s="23">
        <f>IFERROR(SUMIF($K$14:$K$16,"&gt;0",$C$14:$C$16)/SUMIF($K$14:$K$16,"&gt;0",$L$14:$L$16),0)</f>
        <v/>
      </c>
      <c r="J26" s="30">
        <f>IFERROR(I26/H26-1,0)</f>
        <v/>
      </c>
    </row>
    <row r="28">
      <c r="A28" s="31" t="inlineStr">
        <is>
          <t>Emisiones y CPE no tienen meta en el presupuesto: quedan en 0 a propósito. La meta de ventas solo viene cargada para Fijo, así que la tarjeta de VENTAS y el CPA del TOTAL se calculan únicamente sobre los bloques que sí tienen meta.</t>
        </is>
      </c>
    </row>
  </sheetData>
  <mergeCells count="15">
    <mergeCell ref="A2:F2"/>
    <mergeCell ref="A1:F1"/>
    <mergeCell ref="D4:F4"/>
    <mergeCell ref="M4:O4"/>
    <mergeCell ref="K12:M12"/>
    <mergeCell ref="G4:I4"/>
    <mergeCell ref="E12:G12"/>
    <mergeCell ref="J4:L4"/>
    <mergeCell ref="H12:J12"/>
    <mergeCell ref="B21:D21"/>
    <mergeCell ref="B12:D12"/>
    <mergeCell ref="A4:C4"/>
    <mergeCell ref="J1:M1"/>
    <mergeCell ref="H21:J21"/>
    <mergeCell ref="E21:G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  <col width="22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2" customWidth="1" min="14" max="14"/>
    <col width="22" customWidth="1" min="15" max="15"/>
    <col width="16" customWidth="1" min="16" max="16"/>
    <col width="16" customWidth="1" min="17" max="17"/>
    <col width="16" customWidth="1" min="18" max="18"/>
  </cols>
  <sheetData>
    <row r="1">
      <c r="A1" s="32" t="inlineStr">
        <is>
          <t>TRACKING Y PROYECCION A CIERRE · 2026-09</t>
        </is>
      </c>
    </row>
    <row r="2">
      <c r="A2" s="33" t="inlineStr">
        <is>
          <t>Proyeccion = Real acumulado / dias con informacion x dias del mes (run-rate simple). 'Meta a hoy' es la meta diaria acumulada hasta la fecha de corte, para ver el pacing. Parametros en PARAMETROS.</t>
        </is>
      </c>
    </row>
    <row r="4">
      <c r="A4" s="32" t="inlineStr">
        <is>
          <t>COSTOS MOVIL</t>
        </is>
      </c>
      <c r="H4" s="32" t="inlineStr">
        <is>
          <t>LEADS MOVIL</t>
        </is>
      </c>
      <c r="O4" s="32" t="inlineStr">
        <is>
          <t>CPL MOVIL</t>
        </is>
      </c>
    </row>
    <row r="5">
      <c r="A5" s="34" t="inlineStr">
        <is>
          <t>Canal 2</t>
        </is>
      </c>
      <c r="B5" s="34" t="inlineStr">
        <is>
          <t>Meta Costo mes</t>
        </is>
      </c>
      <c r="C5" s="34" t="inlineStr">
        <is>
          <t>Meta a hoy</t>
        </is>
      </c>
      <c r="D5" s="34" t="inlineStr">
        <is>
          <t>Real Costo</t>
        </is>
      </c>
      <c r="E5" s="34" t="inlineStr">
        <is>
          <t>% a hoy</t>
        </is>
      </c>
      <c r="F5" s="34" t="inlineStr">
        <is>
          <t>Costo proyectado</t>
        </is>
      </c>
      <c r="H5" s="34" t="inlineStr">
        <is>
          <t>Canal 2</t>
        </is>
      </c>
      <c r="I5" s="34" t="inlineStr">
        <is>
          <t>Meta Leads mes</t>
        </is>
      </c>
      <c r="J5" s="34" t="inlineStr">
        <is>
          <t>Meta a hoy</t>
        </is>
      </c>
      <c r="K5" s="34" t="inlineStr">
        <is>
          <t>Real Leads</t>
        </is>
      </c>
      <c r="L5" s="34" t="inlineStr">
        <is>
          <t>% a hoy</t>
        </is>
      </c>
      <c r="M5" s="34" t="inlineStr">
        <is>
          <t>Leads Proyectados</t>
        </is>
      </c>
      <c r="O5" s="34" t="inlineStr">
        <is>
          <t>Canal 2</t>
        </is>
      </c>
      <c r="P5" s="34" t="inlineStr">
        <is>
          <t>CPL Meta</t>
        </is>
      </c>
      <c r="Q5" s="34" t="inlineStr">
        <is>
          <t>CPL</t>
        </is>
      </c>
      <c r="R5" s="34" t="inlineStr">
        <is>
          <t>% Cumplimiento</t>
        </is>
      </c>
    </row>
    <row r="6">
      <c r="A6" s="35" t="inlineStr">
        <is>
          <t>Afiliados</t>
        </is>
      </c>
      <c r="B6" s="19">
        <f>SUMIFS(METAS_DIA!$D$2:$D$361,METAS_DIA!$B$2:$B$361,"MOVIL",METAS_DIA!$C$2:$C$361,$A6)</f>
        <v/>
      </c>
      <c r="C6" s="19">
        <f>SUMIFS(METAS_DIA!$D$2:$D$361,METAS_DIA!$B$2:$B$361,"MOVIL",METAS_DIA!$C$2:$C$361,$A6,METAS_DIA!$A$2:$A$361,"&lt;="&amp;PARAMETROS!$B$9)</f>
        <v/>
      </c>
      <c r="D6" s="19">
        <f>SUMIFS(DIARIO!$D$2:$D$123,DIARIO!$B$2:$B$123,"MOVIL",DIARIO!$C$2:$C$123,$A6)</f>
        <v/>
      </c>
      <c r="E6" s="20">
        <f>IFERROR(D6/C6,0)</f>
        <v/>
      </c>
      <c r="F6" s="19">
        <f>D6*PARAMETROS!$B$7</f>
        <v/>
      </c>
      <c r="H6" s="35" t="inlineStr">
        <is>
          <t>Afiliados</t>
        </is>
      </c>
      <c r="I6" s="21">
        <f>SUMIFS(METAS_DIA!$E$2:$E$361,METAS_DIA!$B$2:$B$361,"MOVIL",METAS_DIA!$C$2:$C$361,$H6)</f>
        <v/>
      </c>
      <c r="J6" s="21">
        <f>SUMIFS(METAS_DIA!$E$2:$E$361,METAS_DIA!$B$2:$B$361,"MOVIL",METAS_DIA!$C$2:$C$361,$H6,METAS_DIA!$A$2:$A$361,"&lt;="&amp;PARAMETROS!$B$9)</f>
        <v/>
      </c>
      <c r="K6" s="21">
        <f>SUMIFS(DIARIO!$E$2:$E$123,DIARIO!$B$2:$B$123,"MOVIL",DIARIO!$C$2:$C$123,$H6)</f>
        <v/>
      </c>
      <c r="L6" s="20">
        <f>IFERROR(K6/J6,0)</f>
        <v/>
      </c>
      <c r="M6" s="21">
        <f>K6*PARAMETROS!$B$7</f>
        <v/>
      </c>
      <c r="O6" s="35" t="inlineStr">
        <is>
          <t>Afiliados</t>
        </is>
      </c>
      <c r="P6" s="19">
        <f>IFERROR(B6/I6,0)</f>
        <v/>
      </c>
      <c r="Q6" s="19">
        <f>IFERROR(D6/K6,0)</f>
        <v/>
      </c>
      <c r="R6" s="20">
        <f>IFERROR(Q6/P6,0)</f>
        <v/>
      </c>
    </row>
    <row r="7">
      <c r="A7" s="35" t="inlineStr">
        <is>
          <t>Bing</t>
        </is>
      </c>
      <c r="B7" s="19">
        <f>SUMIFS(METAS_DIA!$D$2:$D$361,METAS_DIA!$B$2:$B$361,"MOVIL",METAS_DIA!$C$2:$C$361,$A7)</f>
        <v/>
      </c>
      <c r="C7" s="19">
        <f>SUMIFS(METAS_DIA!$D$2:$D$361,METAS_DIA!$B$2:$B$361,"MOVIL",METAS_DIA!$C$2:$C$361,$A7,METAS_DIA!$A$2:$A$361,"&lt;="&amp;PARAMETROS!$B$9)</f>
        <v/>
      </c>
      <c r="D7" s="19">
        <f>SUMIFS(DIARIO!$D$2:$D$123,DIARIO!$B$2:$B$123,"MOVIL",DIARIO!$C$2:$C$123,$A7)</f>
        <v/>
      </c>
      <c r="E7" s="20">
        <f>IFERROR(D7/C7,0)</f>
        <v/>
      </c>
      <c r="F7" s="19">
        <f>D7*PARAMETROS!$B$7</f>
        <v/>
      </c>
      <c r="H7" s="35" t="inlineStr">
        <is>
          <t>Bing</t>
        </is>
      </c>
      <c r="I7" s="21">
        <f>SUMIFS(METAS_DIA!$E$2:$E$361,METAS_DIA!$B$2:$B$361,"MOVIL",METAS_DIA!$C$2:$C$361,$H7)</f>
        <v/>
      </c>
      <c r="J7" s="21">
        <f>SUMIFS(METAS_DIA!$E$2:$E$361,METAS_DIA!$B$2:$B$361,"MOVIL",METAS_DIA!$C$2:$C$361,$H7,METAS_DIA!$A$2:$A$361,"&lt;="&amp;PARAMETROS!$B$9)</f>
        <v/>
      </c>
      <c r="K7" s="21">
        <f>SUMIFS(DIARIO!$E$2:$E$123,DIARIO!$B$2:$B$123,"MOVIL",DIARIO!$C$2:$C$123,$H7)</f>
        <v/>
      </c>
      <c r="L7" s="20">
        <f>IFERROR(K7/J7,0)</f>
        <v/>
      </c>
      <c r="M7" s="21">
        <f>K7*PARAMETROS!$B$7</f>
        <v/>
      </c>
      <c r="O7" s="35" t="inlineStr">
        <is>
          <t>Bing</t>
        </is>
      </c>
      <c r="P7" s="19">
        <f>IFERROR(B7/I7,0)</f>
        <v/>
      </c>
      <c r="Q7" s="19">
        <f>IFERROR(D7/K7,0)</f>
        <v/>
      </c>
      <c r="R7" s="20">
        <f>IFERROR(Q7/P7,0)</f>
        <v/>
      </c>
    </row>
    <row r="8">
      <c r="A8" s="35" t="inlineStr">
        <is>
          <t>Display</t>
        </is>
      </c>
      <c r="B8" s="19">
        <f>SUMIFS(METAS_DIA!$D$2:$D$361,METAS_DIA!$B$2:$B$361,"MOVIL",METAS_DIA!$C$2:$C$361,$A8)</f>
        <v/>
      </c>
      <c r="C8" s="19">
        <f>SUMIFS(METAS_DIA!$D$2:$D$361,METAS_DIA!$B$2:$B$361,"MOVIL",METAS_DIA!$C$2:$C$361,$A8,METAS_DIA!$A$2:$A$361,"&lt;="&amp;PARAMETROS!$B$9)</f>
        <v/>
      </c>
      <c r="D8" s="19">
        <f>SUMIFS(DIARIO!$D$2:$D$123,DIARIO!$B$2:$B$123,"MOVIL",DIARIO!$C$2:$C$123,$A8)</f>
        <v/>
      </c>
      <c r="E8" s="20">
        <f>IFERROR(D8/C8,0)</f>
        <v/>
      </c>
      <c r="F8" s="19">
        <f>D8*PARAMETROS!$B$7</f>
        <v/>
      </c>
      <c r="H8" s="35" t="inlineStr">
        <is>
          <t>Display</t>
        </is>
      </c>
      <c r="I8" s="21">
        <f>SUMIFS(METAS_DIA!$E$2:$E$361,METAS_DIA!$B$2:$B$361,"MOVIL",METAS_DIA!$C$2:$C$361,$H8)</f>
        <v/>
      </c>
      <c r="J8" s="21">
        <f>SUMIFS(METAS_DIA!$E$2:$E$361,METAS_DIA!$B$2:$B$361,"MOVIL",METAS_DIA!$C$2:$C$361,$H8,METAS_DIA!$A$2:$A$361,"&lt;="&amp;PARAMETROS!$B$9)</f>
        <v/>
      </c>
      <c r="K8" s="21">
        <f>SUMIFS(DIARIO!$E$2:$E$123,DIARIO!$B$2:$B$123,"MOVIL",DIARIO!$C$2:$C$123,$H8)</f>
        <v/>
      </c>
      <c r="L8" s="20">
        <f>IFERROR(K8/J8,0)</f>
        <v/>
      </c>
      <c r="M8" s="21">
        <f>K8*PARAMETROS!$B$7</f>
        <v/>
      </c>
      <c r="O8" s="35" t="inlineStr">
        <is>
          <t>Display</t>
        </is>
      </c>
      <c r="P8" s="19">
        <f>IFERROR(B8/I8,0)</f>
        <v/>
      </c>
      <c r="Q8" s="19">
        <f>IFERROR(D8/K8,0)</f>
        <v/>
      </c>
      <c r="R8" s="20">
        <f>IFERROR(Q8/P8,0)</f>
        <v/>
      </c>
    </row>
    <row r="9">
      <c r="A9" s="35" t="inlineStr">
        <is>
          <t>Meta</t>
        </is>
      </c>
      <c r="B9" s="19">
        <f>SUMIFS(METAS_DIA!$D$2:$D$361,METAS_DIA!$B$2:$B$361,"MOVIL",METAS_DIA!$C$2:$C$361,$A9)</f>
        <v/>
      </c>
      <c r="C9" s="19">
        <f>SUMIFS(METAS_DIA!$D$2:$D$361,METAS_DIA!$B$2:$B$361,"MOVIL",METAS_DIA!$C$2:$C$361,$A9,METAS_DIA!$A$2:$A$361,"&lt;="&amp;PARAMETROS!$B$9)</f>
        <v/>
      </c>
      <c r="D9" s="19">
        <f>SUMIFS(DIARIO!$D$2:$D$123,DIARIO!$B$2:$B$123,"MOVIL",DIARIO!$C$2:$C$123,$A9)</f>
        <v/>
      </c>
      <c r="E9" s="20">
        <f>IFERROR(D9/C9,0)</f>
        <v/>
      </c>
      <c r="F9" s="19">
        <f>D9*PARAMETROS!$B$7</f>
        <v/>
      </c>
      <c r="H9" s="35" t="inlineStr">
        <is>
          <t>Meta</t>
        </is>
      </c>
      <c r="I9" s="21">
        <f>SUMIFS(METAS_DIA!$E$2:$E$361,METAS_DIA!$B$2:$B$361,"MOVIL",METAS_DIA!$C$2:$C$361,$H9)</f>
        <v/>
      </c>
      <c r="J9" s="21">
        <f>SUMIFS(METAS_DIA!$E$2:$E$361,METAS_DIA!$B$2:$B$361,"MOVIL",METAS_DIA!$C$2:$C$361,$H9,METAS_DIA!$A$2:$A$361,"&lt;="&amp;PARAMETROS!$B$9)</f>
        <v/>
      </c>
      <c r="K9" s="21">
        <f>SUMIFS(DIARIO!$E$2:$E$123,DIARIO!$B$2:$B$123,"MOVIL",DIARIO!$C$2:$C$123,$H9)</f>
        <v/>
      </c>
      <c r="L9" s="20">
        <f>IFERROR(K9/J9,0)</f>
        <v/>
      </c>
      <c r="M9" s="21">
        <f>K9*PARAMETROS!$B$7</f>
        <v/>
      </c>
      <c r="O9" s="35" t="inlineStr">
        <is>
          <t>Meta</t>
        </is>
      </c>
      <c r="P9" s="19">
        <f>IFERROR(B9/I9,0)</f>
        <v/>
      </c>
      <c r="Q9" s="19">
        <f>IFERROR(D9/K9,0)</f>
        <v/>
      </c>
      <c r="R9" s="20">
        <f>IFERROR(Q9/P9,0)</f>
        <v/>
      </c>
    </row>
    <row r="10">
      <c r="A10" s="35" t="inlineStr">
        <is>
          <t>Pmax</t>
        </is>
      </c>
      <c r="B10" s="19">
        <f>SUMIFS(METAS_DIA!$D$2:$D$361,METAS_DIA!$B$2:$B$361,"MOVIL",METAS_DIA!$C$2:$C$361,$A10)</f>
        <v/>
      </c>
      <c r="C10" s="19">
        <f>SUMIFS(METAS_DIA!$D$2:$D$361,METAS_DIA!$B$2:$B$361,"MOVIL",METAS_DIA!$C$2:$C$361,$A10,METAS_DIA!$A$2:$A$361,"&lt;="&amp;PARAMETROS!$B$9)</f>
        <v/>
      </c>
      <c r="D10" s="19">
        <f>SUMIFS(DIARIO!$D$2:$D$123,DIARIO!$B$2:$B$123,"MOVIL",DIARIO!$C$2:$C$123,$A10)</f>
        <v/>
      </c>
      <c r="E10" s="20">
        <f>IFERROR(D10/C10,0)</f>
        <v/>
      </c>
      <c r="F10" s="19">
        <f>D10*PARAMETROS!$B$7</f>
        <v/>
      </c>
      <c r="H10" s="35" t="inlineStr">
        <is>
          <t>Pmax</t>
        </is>
      </c>
      <c r="I10" s="21">
        <f>SUMIFS(METAS_DIA!$E$2:$E$361,METAS_DIA!$B$2:$B$361,"MOVIL",METAS_DIA!$C$2:$C$361,$H10)</f>
        <v/>
      </c>
      <c r="J10" s="21">
        <f>SUMIFS(METAS_DIA!$E$2:$E$361,METAS_DIA!$B$2:$B$361,"MOVIL",METAS_DIA!$C$2:$C$361,$H10,METAS_DIA!$A$2:$A$361,"&lt;="&amp;PARAMETROS!$B$9)</f>
        <v/>
      </c>
      <c r="K10" s="21">
        <f>SUMIFS(DIARIO!$E$2:$E$123,DIARIO!$B$2:$B$123,"MOVIL",DIARIO!$C$2:$C$123,$H10)</f>
        <v/>
      </c>
      <c r="L10" s="20">
        <f>IFERROR(K10/J10,0)</f>
        <v/>
      </c>
      <c r="M10" s="21">
        <f>K10*PARAMETROS!$B$7</f>
        <v/>
      </c>
      <c r="O10" s="35" t="inlineStr">
        <is>
          <t>Pmax</t>
        </is>
      </c>
      <c r="P10" s="19">
        <f>IFERROR(B10/I10,0)</f>
        <v/>
      </c>
      <c r="Q10" s="19">
        <f>IFERROR(D10/K10,0)</f>
        <v/>
      </c>
      <c r="R10" s="20">
        <f>IFERROR(Q10/P10,0)</f>
        <v/>
      </c>
    </row>
    <row r="11">
      <c r="A11" s="35" t="inlineStr">
        <is>
          <t>Search</t>
        </is>
      </c>
      <c r="B11" s="19">
        <f>SUMIFS(METAS_DIA!$D$2:$D$361,METAS_DIA!$B$2:$B$361,"MOVIL",METAS_DIA!$C$2:$C$361,$A11)</f>
        <v/>
      </c>
      <c r="C11" s="19">
        <f>SUMIFS(METAS_DIA!$D$2:$D$361,METAS_DIA!$B$2:$B$361,"MOVIL",METAS_DIA!$C$2:$C$361,$A11,METAS_DIA!$A$2:$A$361,"&lt;="&amp;PARAMETROS!$B$9)</f>
        <v/>
      </c>
      <c r="D11" s="19">
        <f>SUMIFS(DIARIO!$D$2:$D$123,DIARIO!$B$2:$B$123,"MOVIL",DIARIO!$C$2:$C$123,$A11)</f>
        <v/>
      </c>
      <c r="E11" s="20">
        <f>IFERROR(D11/C11,0)</f>
        <v/>
      </c>
      <c r="F11" s="19">
        <f>D11*PARAMETROS!$B$7</f>
        <v/>
      </c>
      <c r="H11" s="35" t="inlineStr">
        <is>
          <t>Search</t>
        </is>
      </c>
      <c r="I11" s="21">
        <f>SUMIFS(METAS_DIA!$E$2:$E$361,METAS_DIA!$B$2:$B$361,"MOVIL",METAS_DIA!$C$2:$C$361,$H11)</f>
        <v/>
      </c>
      <c r="J11" s="21">
        <f>SUMIFS(METAS_DIA!$E$2:$E$361,METAS_DIA!$B$2:$B$361,"MOVIL",METAS_DIA!$C$2:$C$361,$H11,METAS_DIA!$A$2:$A$361,"&lt;="&amp;PARAMETROS!$B$9)</f>
        <v/>
      </c>
      <c r="K11" s="21">
        <f>SUMIFS(DIARIO!$E$2:$E$123,DIARIO!$B$2:$B$123,"MOVIL",DIARIO!$C$2:$C$123,$H11)</f>
        <v/>
      </c>
      <c r="L11" s="20">
        <f>IFERROR(K11/J11,0)</f>
        <v/>
      </c>
      <c r="M11" s="21">
        <f>K11*PARAMETROS!$B$7</f>
        <v/>
      </c>
      <c r="O11" s="35" t="inlineStr">
        <is>
          <t>Search</t>
        </is>
      </c>
      <c r="P11" s="19">
        <f>IFERROR(B11/I11,0)</f>
        <v/>
      </c>
      <c r="Q11" s="19">
        <f>IFERROR(D11/K11,0)</f>
        <v/>
      </c>
      <c r="R11" s="20">
        <f>IFERROR(Q11/P11,0)</f>
        <v/>
      </c>
    </row>
    <row r="12">
      <c r="A12" s="35" t="inlineStr">
        <is>
          <t>TikTok</t>
        </is>
      </c>
      <c r="B12" s="19">
        <f>SUMIFS(METAS_DIA!$D$2:$D$361,METAS_DIA!$B$2:$B$361,"MOVIL",METAS_DIA!$C$2:$C$361,$A12)</f>
        <v/>
      </c>
      <c r="C12" s="19">
        <f>SUMIFS(METAS_DIA!$D$2:$D$361,METAS_DIA!$B$2:$B$361,"MOVIL",METAS_DIA!$C$2:$C$361,$A12,METAS_DIA!$A$2:$A$361,"&lt;="&amp;PARAMETROS!$B$9)</f>
        <v/>
      </c>
      <c r="D12" s="19">
        <f>SUMIFS(DIARIO!$D$2:$D$123,DIARIO!$B$2:$B$123,"MOVIL",DIARIO!$C$2:$C$123,$A12)</f>
        <v/>
      </c>
      <c r="E12" s="20">
        <f>IFERROR(D12/C12,0)</f>
        <v/>
      </c>
      <c r="F12" s="19">
        <f>D12*PARAMETROS!$B$7</f>
        <v/>
      </c>
      <c r="H12" s="35" t="inlineStr">
        <is>
          <t>TikTok</t>
        </is>
      </c>
      <c r="I12" s="21">
        <f>SUMIFS(METAS_DIA!$E$2:$E$361,METAS_DIA!$B$2:$B$361,"MOVIL",METAS_DIA!$C$2:$C$361,$H12)</f>
        <v/>
      </c>
      <c r="J12" s="21">
        <f>SUMIFS(METAS_DIA!$E$2:$E$361,METAS_DIA!$B$2:$B$361,"MOVIL",METAS_DIA!$C$2:$C$361,$H12,METAS_DIA!$A$2:$A$361,"&lt;="&amp;PARAMETROS!$B$9)</f>
        <v/>
      </c>
      <c r="K12" s="21">
        <f>SUMIFS(DIARIO!$E$2:$E$123,DIARIO!$B$2:$B$123,"MOVIL",DIARIO!$C$2:$C$123,$H12)</f>
        <v/>
      </c>
      <c r="L12" s="20">
        <f>IFERROR(K12/J12,0)</f>
        <v/>
      </c>
      <c r="M12" s="21">
        <f>K12*PARAMETROS!$B$7</f>
        <v/>
      </c>
      <c r="O12" s="35" t="inlineStr">
        <is>
          <t>TikTok</t>
        </is>
      </c>
      <c r="P12" s="19">
        <f>IFERROR(B12/I12,0)</f>
        <v/>
      </c>
      <c r="Q12" s="19">
        <f>IFERROR(D12/K12,0)</f>
        <v/>
      </c>
      <c r="R12" s="20">
        <f>IFERROR(Q12/P12,0)</f>
        <v/>
      </c>
    </row>
    <row r="13">
      <c r="A13" s="22" t="inlineStr">
        <is>
          <t>Total</t>
        </is>
      </c>
      <c r="B13" s="23">
        <f>SUM(B6:B12)</f>
        <v/>
      </c>
      <c r="C13" s="23">
        <f>SUM(C6:C12)</f>
        <v/>
      </c>
      <c r="D13" s="23">
        <f>SUM(D6:D12)</f>
        <v/>
      </c>
      <c r="E13" s="24">
        <f>IFERROR(D13/C13,0)</f>
        <v/>
      </c>
      <c r="F13" s="23">
        <f>SUM(F6:F12)</f>
        <v/>
      </c>
      <c r="H13" s="22" t="inlineStr">
        <is>
          <t>Total</t>
        </is>
      </c>
      <c r="I13" s="25">
        <f>SUM(I6:I12)</f>
        <v/>
      </c>
      <c r="J13" s="25">
        <f>SUM(J6:J12)</f>
        <v/>
      </c>
      <c r="K13" s="25">
        <f>SUM(K6:K12)</f>
        <v/>
      </c>
      <c r="L13" s="24">
        <f>IFERROR(K13/J13,0)</f>
        <v/>
      </c>
      <c r="M13" s="25">
        <f>SUM(M6:M12)</f>
        <v/>
      </c>
      <c r="O13" s="22" t="inlineStr">
        <is>
          <t>Total</t>
        </is>
      </c>
      <c r="P13" s="23">
        <f>IFERROR(B13/I13,0)</f>
        <v/>
      </c>
      <c r="Q13" s="23">
        <f>IFERROR(D13/K13,0)</f>
        <v/>
      </c>
      <c r="R13" s="24">
        <f>IFERROR(Q13/P13,0)</f>
        <v/>
      </c>
    </row>
    <row r="15">
      <c r="A15" s="36" t="inlineStr">
        <is>
          <t>EMBUDO Y COSTOS UNITARIOS MOVIL  ·  sin meta asociada</t>
        </is>
      </c>
    </row>
    <row r="16">
      <c r="A16" s="34" t="inlineStr">
        <is>
          <t>Canal 2</t>
        </is>
      </c>
      <c r="B16" s="34" t="inlineStr">
        <is>
          <t>Q Neto</t>
        </is>
      </c>
      <c r="C16" s="34" t="inlineStr">
        <is>
          <t>Q Neto proy</t>
        </is>
      </c>
      <c r="D16" s="34" t="inlineStr">
        <is>
          <t>CPL Neto</t>
        </is>
      </c>
      <c r="E16" s="34" t="inlineStr">
        <is>
          <t>Q Emi</t>
        </is>
      </c>
      <c r="F16" s="34" t="inlineStr">
        <is>
          <t>Q Emi proy</t>
        </is>
      </c>
      <c r="G16" s="34" t="inlineStr">
        <is>
          <t>CPE</t>
        </is>
      </c>
      <c r="H16" s="34" t="inlineStr">
        <is>
          <t>Q Ter</t>
        </is>
      </c>
      <c r="I16" s="34" t="inlineStr">
        <is>
          <t>Q Ter proy</t>
        </is>
      </c>
      <c r="J16" s="34" t="inlineStr">
        <is>
          <t>CPA</t>
        </is>
      </c>
    </row>
    <row r="17">
      <c r="A17" s="35" t="inlineStr">
        <is>
          <t>Afiliados</t>
        </is>
      </c>
      <c r="B17" s="37">
        <f>SUMIFS(DIARIO!$F$2:$F$123,DIARIO!$B$2:$B$123,"MOVIL",DIARIO!$C$2:$C$123,$A17)</f>
        <v/>
      </c>
      <c r="C17" s="37">
        <f>B17*PARAMETROS!$B$7</f>
        <v/>
      </c>
      <c r="D17" s="19">
        <f>IFERROR(SUMIFS(DIARIO!$D$2:$D$123,DIARIO!$B$2:$B$123,"MOVIL",DIARIO!$C$2:$C$123,$A17)/B17,0)</f>
        <v/>
      </c>
      <c r="E17" s="37">
        <f>SUMIFS(DIARIO!$G$2:$G$123,DIARIO!$B$2:$B$123,"MOVIL",DIARIO!$C$2:$C$123,$A17)</f>
        <v/>
      </c>
      <c r="F17" s="37">
        <f>E17*PARAMETROS!$B$7</f>
        <v/>
      </c>
      <c r="G17" s="19">
        <f>IFERROR(SUMIFS(DIARIO!$D$2:$D$123,DIARIO!$B$2:$B$123,"MOVIL",DIARIO!$C$2:$C$123,$A17)/E17,0)</f>
        <v/>
      </c>
      <c r="H17" s="37">
        <f>SUMIFS(DIARIO!$H$2:$H$123,DIARIO!$B$2:$B$123,"MOVIL",DIARIO!$C$2:$C$123,$A17)</f>
        <v/>
      </c>
      <c r="I17" s="37">
        <f>H17*PARAMETROS!$B$7</f>
        <v/>
      </c>
      <c r="J17" s="19">
        <f>IFERROR(SUMIFS(DIARIO!$D$2:$D$123,DIARIO!$B$2:$B$123,"MOVIL",DIARIO!$C$2:$C$123,$A17)/H17,0)</f>
        <v/>
      </c>
    </row>
    <row r="18">
      <c r="A18" s="35" t="inlineStr">
        <is>
          <t>Bing</t>
        </is>
      </c>
      <c r="B18" s="37">
        <f>SUMIFS(DIARIO!$F$2:$F$123,DIARIO!$B$2:$B$123,"MOVIL",DIARIO!$C$2:$C$123,$A18)</f>
        <v/>
      </c>
      <c r="C18" s="37">
        <f>B18*PARAMETROS!$B$7</f>
        <v/>
      </c>
      <c r="D18" s="19">
        <f>IFERROR(SUMIFS(DIARIO!$D$2:$D$123,DIARIO!$B$2:$B$123,"MOVIL",DIARIO!$C$2:$C$123,$A18)/B18,0)</f>
        <v/>
      </c>
      <c r="E18" s="37">
        <f>SUMIFS(DIARIO!$G$2:$G$123,DIARIO!$B$2:$B$123,"MOVIL",DIARIO!$C$2:$C$123,$A18)</f>
        <v/>
      </c>
      <c r="F18" s="37">
        <f>E18*PARAMETROS!$B$7</f>
        <v/>
      </c>
      <c r="G18" s="19">
        <f>IFERROR(SUMIFS(DIARIO!$D$2:$D$123,DIARIO!$B$2:$B$123,"MOVIL",DIARIO!$C$2:$C$123,$A18)/E18,0)</f>
        <v/>
      </c>
      <c r="H18" s="37">
        <f>SUMIFS(DIARIO!$H$2:$H$123,DIARIO!$B$2:$B$123,"MOVIL",DIARIO!$C$2:$C$123,$A18)</f>
        <v/>
      </c>
      <c r="I18" s="37">
        <f>H18*PARAMETROS!$B$7</f>
        <v/>
      </c>
      <c r="J18" s="19">
        <f>IFERROR(SUMIFS(DIARIO!$D$2:$D$123,DIARIO!$B$2:$B$123,"MOVIL",DIARIO!$C$2:$C$123,$A18)/H18,0)</f>
        <v/>
      </c>
    </row>
    <row r="19">
      <c r="A19" s="35" t="inlineStr">
        <is>
          <t>Display</t>
        </is>
      </c>
      <c r="B19" s="37">
        <f>SUMIFS(DIARIO!$F$2:$F$123,DIARIO!$B$2:$B$123,"MOVIL",DIARIO!$C$2:$C$123,$A19)</f>
        <v/>
      </c>
      <c r="C19" s="37">
        <f>B19*PARAMETROS!$B$7</f>
        <v/>
      </c>
      <c r="D19" s="19">
        <f>IFERROR(SUMIFS(DIARIO!$D$2:$D$123,DIARIO!$B$2:$B$123,"MOVIL",DIARIO!$C$2:$C$123,$A19)/B19,0)</f>
        <v/>
      </c>
      <c r="E19" s="37">
        <f>SUMIFS(DIARIO!$G$2:$G$123,DIARIO!$B$2:$B$123,"MOVIL",DIARIO!$C$2:$C$123,$A19)</f>
        <v/>
      </c>
      <c r="F19" s="37">
        <f>E19*PARAMETROS!$B$7</f>
        <v/>
      </c>
      <c r="G19" s="19">
        <f>IFERROR(SUMIFS(DIARIO!$D$2:$D$123,DIARIO!$B$2:$B$123,"MOVIL",DIARIO!$C$2:$C$123,$A19)/E19,0)</f>
        <v/>
      </c>
      <c r="H19" s="37">
        <f>SUMIFS(DIARIO!$H$2:$H$123,DIARIO!$B$2:$B$123,"MOVIL",DIARIO!$C$2:$C$123,$A19)</f>
        <v/>
      </c>
      <c r="I19" s="37">
        <f>H19*PARAMETROS!$B$7</f>
        <v/>
      </c>
      <c r="J19" s="19">
        <f>IFERROR(SUMIFS(DIARIO!$D$2:$D$123,DIARIO!$B$2:$B$123,"MOVIL",DIARIO!$C$2:$C$123,$A19)/H19,0)</f>
        <v/>
      </c>
    </row>
    <row r="20">
      <c r="A20" s="35" t="inlineStr">
        <is>
          <t>Meta</t>
        </is>
      </c>
      <c r="B20" s="37">
        <f>SUMIFS(DIARIO!$F$2:$F$123,DIARIO!$B$2:$B$123,"MOVIL",DIARIO!$C$2:$C$123,$A20)</f>
        <v/>
      </c>
      <c r="C20" s="37">
        <f>B20*PARAMETROS!$B$7</f>
        <v/>
      </c>
      <c r="D20" s="19">
        <f>IFERROR(SUMIFS(DIARIO!$D$2:$D$123,DIARIO!$B$2:$B$123,"MOVIL",DIARIO!$C$2:$C$123,$A20)/B20,0)</f>
        <v/>
      </c>
      <c r="E20" s="37">
        <f>SUMIFS(DIARIO!$G$2:$G$123,DIARIO!$B$2:$B$123,"MOVIL",DIARIO!$C$2:$C$123,$A20)</f>
        <v/>
      </c>
      <c r="F20" s="37">
        <f>E20*PARAMETROS!$B$7</f>
        <v/>
      </c>
      <c r="G20" s="19">
        <f>IFERROR(SUMIFS(DIARIO!$D$2:$D$123,DIARIO!$B$2:$B$123,"MOVIL",DIARIO!$C$2:$C$123,$A20)/E20,0)</f>
        <v/>
      </c>
      <c r="H20" s="37">
        <f>SUMIFS(DIARIO!$H$2:$H$123,DIARIO!$B$2:$B$123,"MOVIL",DIARIO!$C$2:$C$123,$A20)</f>
        <v/>
      </c>
      <c r="I20" s="37">
        <f>H20*PARAMETROS!$B$7</f>
        <v/>
      </c>
      <c r="J20" s="19">
        <f>IFERROR(SUMIFS(DIARIO!$D$2:$D$123,DIARIO!$B$2:$B$123,"MOVIL",DIARIO!$C$2:$C$123,$A20)/H20,0)</f>
        <v/>
      </c>
    </row>
    <row r="21">
      <c r="A21" s="35" t="inlineStr">
        <is>
          <t>Pmax</t>
        </is>
      </c>
      <c r="B21" s="37">
        <f>SUMIFS(DIARIO!$F$2:$F$123,DIARIO!$B$2:$B$123,"MOVIL",DIARIO!$C$2:$C$123,$A21)</f>
        <v/>
      </c>
      <c r="C21" s="37">
        <f>B21*PARAMETROS!$B$7</f>
        <v/>
      </c>
      <c r="D21" s="19">
        <f>IFERROR(SUMIFS(DIARIO!$D$2:$D$123,DIARIO!$B$2:$B$123,"MOVIL",DIARIO!$C$2:$C$123,$A21)/B21,0)</f>
        <v/>
      </c>
      <c r="E21" s="37">
        <f>SUMIFS(DIARIO!$G$2:$G$123,DIARIO!$B$2:$B$123,"MOVIL",DIARIO!$C$2:$C$123,$A21)</f>
        <v/>
      </c>
      <c r="F21" s="37">
        <f>E21*PARAMETROS!$B$7</f>
        <v/>
      </c>
      <c r="G21" s="19">
        <f>IFERROR(SUMIFS(DIARIO!$D$2:$D$123,DIARIO!$B$2:$B$123,"MOVIL",DIARIO!$C$2:$C$123,$A21)/E21,0)</f>
        <v/>
      </c>
      <c r="H21" s="37">
        <f>SUMIFS(DIARIO!$H$2:$H$123,DIARIO!$B$2:$B$123,"MOVIL",DIARIO!$C$2:$C$123,$A21)</f>
        <v/>
      </c>
      <c r="I21" s="37">
        <f>H21*PARAMETROS!$B$7</f>
        <v/>
      </c>
      <c r="J21" s="19">
        <f>IFERROR(SUMIFS(DIARIO!$D$2:$D$123,DIARIO!$B$2:$B$123,"MOVIL",DIARIO!$C$2:$C$123,$A21)/H21,0)</f>
        <v/>
      </c>
    </row>
    <row r="22">
      <c r="A22" s="35" t="inlineStr">
        <is>
          <t>Search</t>
        </is>
      </c>
      <c r="B22" s="37">
        <f>SUMIFS(DIARIO!$F$2:$F$123,DIARIO!$B$2:$B$123,"MOVIL",DIARIO!$C$2:$C$123,$A22)</f>
        <v/>
      </c>
      <c r="C22" s="37">
        <f>B22*PARAMETROS!$B$7</f>
        <v/>
      </c>
      <c r="D22" s="19">
        <f>IFERROR(SUMIFS(DIARIO!$D$2:$D$123,DIARIO!$B$2:$B$123,"MOVIL",DIARIO!$C$2:$C$123,$A22)/B22,0)</f>
        <v/>
      </c>
      <c r="E22" s="37">
        <f>SUMIFS(DIARIO!$G$2:$G$123,DIARIO!$B$2:$B$123,"MOVIL",DIARIO!$C$2:$C$123,$A22)</f>
        <v/>
      </c>
      <c r="F22" s="37">
        <f>E22*PARAMETROS!$B$7</f>
        <v/>
      </c>
      <c r="G22" s="19">
        <f>IFERROR(SUMIFS(DIARIO!$D$2:$D$123,DIARIO!$B$2:$B$123,"MOVIL",DIARIO!$C$2:$C$123,$A22)/E22,0)</f>
        <v/>
      </c>
      <c r="H22" s="37">
        <f>SUMIFS(DIARIO!$H$2:$H$123,DIARIO!$B$2:$B$123,"MOVIL",DIARIO!$C$2:$C$123,$A22)</f>
        <v/>
      </c>
      <c r="I22" s="37">
        <f>H22*PARAMETROS!$B$7</f>
        <v/>
      </c>
      <c r="J22" s="19">
        <f>IFERROR(SUMIFS(DIARIO!$D$2:$D$123,DIARIO!$B$2:$B$123,"MOVIL",DIARIO!$C$2:$C$123,$A22)/H22,0)</f>
        <v/>
      </c>
    </row>
    <row r="23">
      <c r="A23" s="35" t="inlineStr">
        <is>
          <t>TikTok</t>
        </is>
      </c>
      <c r="B23" s="37">
        <f>SUMIFS(DIARIO!$F$2:$F$123,DIARIO!$B$2:$B$123,"MOVIL",DIARIO!$C$2:$C$123,$A23)</f>
        <v/>
      </c>
      <c r="C23" s="37">
        <f>B23*PARAMETROS!$B$7</f>
        <v/>
      </c>
      <c r="D23" s="19">
        <f>IFERROR(SUMIFS(DIARIO!$D$2:$D$123,DIARIO!$B$2:$B$123,"MOVIL",DIARIO!$C$2:$C$123,$A23)/B23,0)</f>
        <v/>
      </c>
      <c r="E23" s="37">
        <f>SUMIFS(DIARIO!$G$2:$G$123,DIARIO!$B$2:$B$123,"MOVIL",DIARIO!$C$2:$C$123,$A23)</f>
        <v/>
      </c>
      <c r="F23" s="37">
        <f>E23*PARAMETROS!$B$7</f>
        <v/>
      </c>
      <c r="G23" s="19">
        <f>IFERROR(SUMIFS(DIARIO!$D$2:$D$123,DIARIO!$B$2:$B$123,"MOVIL",DIARIO!$C$2:$C$123,$A23)/E23,0)</f>
        <v/>
      </c>
      <c r="H23" s="37">
        <f>SUMIFS(DIARIO!$H$2:$H$123,DIARIO!$B$2:$B$123,"MOVIL",DIARIO!$C$2:$C$123,$A23)</f>
        <v/>
      </c>
      <c r="I23" s="37">
        <f>H23*PARAMETROS!$B$7</f>
        <v/>
      </c>
      <c r="J23" s="19">
        <f>IFERROR(SUMIFS(DIARIO!$D$2:$D$123,DIARIO!$B$2:$B$123,"MOVIL",DIARIO!$C$2:$C$123,$A23)/H23,0)</f>
        <v/>
      </c>
    </row>
    <row r="24">
      <c r="A24" s="22" t="inlineStr">
        <is>
          <t>Total</t>
        </is>
      </c>
      <c r="B24" s="38">
        <f>SUM(B17:B23)</f>
        <v/>
      </c>
      <c r="C24" s="38">
        <f>SUM(C17:C23)</f>
        <v/>
      </c>
      <c r="D24" s="23">
        <f>IFERROR(SUMIFS(DIARIO!$D$2:$D$123,DIARIO!$B$2:$B$123,"MOVIL")/B24,0)</f>
        <v/>
      </c>
      <c r="E24" s="38">
        <f>SUM(E17:E23)</f>
        <v/>
      </c>
      <c r="F24" s="38">
        <f>SUM(F17:F23)</f>
        <v/>
      </c>
      <c r="G24" s="23">
        <f>IFERROR(SUMIFS(DIARIO!$D$2:$D$123,DIARIO!$B$2:$B$123,"MOVIL")/E24,0)</f>
        <v/>
      </c>
      <c r="H24" s="38">
        <f>SUM(H17:H23)</f>
        <v/>
      </c>
      <c r="I24" s="38">
        <f>SUM(I17:I23)</f>
        <v/>
      </c>
      <c r="J24" s="23">
        <f>IFERROR(SUMIFS(DIARIO!$D$2:$D$123,DIARIO!$B$2:$B$123,"MOVIL")/H24,0)</f>
        <v/>
      </c>
    </row>
    <row r="26">
      <c r="A26" s="39" t="inlineStr">
        <is>
          <t>COSTOS FIJO</t>
        </is>
      </c>
      <c r="H26" s="39" t="inlineStr">
        <is>
          <t>LEADS FIJO</t>
        </is>
      </c>
      <c r="O26" s="39" t="inlineStr">
        <is>
          <t>CPL FIJO</t>
        </is>
      </c>
    </row>
    <row r="27">
      <c r="A27" s="34" t="inlineStr">
        <is>
          <t>Canal 2</t>
        </is>
      </c>
      <c r="B27" s="34" t="inlineStr">
        <is>
          <t>Meta Costo mes</t>
        </is>
      </c>
      <c r="C27" s="34" t="inlineStr">
        <is>
          <t>Meta a hoy</t>
        </is>
      </c>
      <c r="D27" s="34" t="inlineStr">
        <is>
          <t>Real Costo</t>
        </is>
      </c>
      <c r="E27" s="34" t="inlineStr">
        <is>
          <t>% a hoy</t>
        </is>
      </c>
      <c r="F27" s="34" t="inlineStr">
        <is>
          <t>Costo proyectado</t>
        </is>
      </c>
      <c r="H27" s="34" t="inlineStr">
        <is>
          <t>Canal 2</t>
        </is>
      </c>
      <c r="I27" s="34" t="inlineStr">
        <is>
          <t>Meta Leads mes</t>
        </is>
      </c>
      <c r="J27" s="34" t="inlineStr">
        <is>
          <t>Meta a hoy</t>
        </is>
      </c>
      <c r="K27" s="34" t="inlineStr">
        <is>
          <t>Real Leads</t>
        </is>
      </c>
      <c r="L27" s="34" t="inlineStr">
        <is>
          <t>% a hoy</t>
        </is>
      </c>
      <c r="M27" s="34" t="inlineStr">
        <is>
          <t>Leads Proyectados</t>
        </is>
      </c>
      <c r="O27" s="34" t="inlineStr">
        <is>
          <t>Canal 2</t>
        </is>
      </c>
      <c r="P27" s="34" t="inlineStr">
        <is>
          <t>CPL Meta</t>
        </is>
      </c>
      <c r="Q27" s="34" t="inlineStr">
        <is>
          <t>CPL</t>
        </is>
      </c>
      <c r="R27" s="34" t="inlineStr">
        <is>
          <t>% Cumplimiento</t>
        </is>
      </c>
    </row>
    <row r="28">
      <c r="A28" s="35" t="inlineStr">
        <is>
          <t>*Sin Clasificar*</t>
        </is>
      </c>
      <c r="B28" s="19">
        <f>SUMIFS(METAS_DIA!$D$2:$D$361,METAS_DIA!$B$2:$B$361,"FIJO",METAS_DIA!$C$2:$C$361,$A28)</f>
        <v/>
      </c>
      <c r="C28" s="19">
        <f>SUMIFS(METAS_DIA!$D$2:$D$361,METAS_DIA!$B$2:$B$361,"FIJO",METAS_DIA!$C$2:$C$361,$A28,METAS_DIA!$A$2:$A$361,"&lt;="&amp;PARAMETROS!$B$9)</f>
        <v/>
      </c>
      <c r="D28" s="19">
        <f>SUMIFS(DIARIO!$D$2:$D$123,DIARIO!$B$2:$B$123,"FIJO",DIARIO!$C$2:$C$123,$A28)</f>
        <v/>
      </c>
      <c r="E28" s="20">
        <f>IFERROR(D28/C28,0)</f>
        <v/>
      </c>
      <c r="F28" s="19">
        <f>D28*PARAMETROS!$B$7</f>
        <v/>
      </c>
      <c r="H28" s="35" t="inlineStr">
        <is>
          <t>*Sin Clasificar*</t>
        </is>
      </c>
      <c r="I28" s="21">
        <f>SUMIFS(METAS_DIA!$E$2:$E$361,METAS_DIA!$B$2:$B$361,"FIJO",METAS_DIA!$C$2:$C$361,$H28)</f>
        <v/>
      </c>
      <c r="J28" s="21">
        <f>SUMIFS(METAS_DIA!$E$2:$E$361,METAS_DIA!$B$2:$B$361,"FIJO",METAS_DIA!$C$2:$C$361,$H28,METAS_DIA!$A$2:$A$361,"&lt;="&amp;PARAMETROS!$B$9)</f>
        <v/>
      </c>
      <c r="K28" s="21">
        <f>SUMIFS(DIARIO!$E$2:$E$123,DIARIO!$B$2:$B$123,"FIJO",DIARIO!$C$2:$C$123,$H28)</f>
        <v/>
      </c>
      <c r="L28" s="20">
        <f>IFERROR(K28/J28,0)</f>
        <v/>
      </c>
      <c r="M28" s="21">
        <f>K28*PARAMETROS!$B$7</f>
        <v/>
      </c>
      <c r="O28" s="35" t="inlineStr">
        <is>
          <t>*Sin Clasificar*</t>
        </is>
      </c>
      <c r="P28" s="19">
        <f>IFERROR(B28/I28,0)</f>
        <v/>
      </c>
      <c r="Q28" s="19">
        <f>IFERROR(D28/K28,0)</f>
        <v/>
      </c>
      <c r="R28" s="20">
        <f>IFERROR(Q28/P28,0)</f>
        <v/>
      </c>
    </row>
    <row r="29">
      <c r="A29" s="35" t="inlineStr">
        <is>
          <t>Afiliados</t>
        </is>
      </c>
      <c r="B29" s="19">
        <f>SUMIFS(METAS_DIA!$D$2:$D$361,METAS_DIA!$B$2:$B$361,"FIJO",METAS_DIA!$C$2:$C$361,$A29)</f>
        <v/>
      </c>
      <c r="C29" s="19">
        <f>SUMIFS(METAS_DIA!$D$2:$D$361,METAS_DIA!$B$2:$B$361,"FIJO",METAS_DIA!$C$2:$C$361,$A29,METAS_DIA!$A$2:$A$361,"&lt;="&amp;PARAMETROS!$B$9)</f>
        <v/>
      </c>
      <c r="D29" s="19">
        <f>SUMIFS(DIARIO!$D$2:$D$123,DIARIO!$B$2:$B$123,"FIJO",DIARIO!$C$2:$C$123,$A29)</f>
        <v/>
      </c>
      <c r="E29" s="20">
        <f>IFERROR(D29/C29,0)</f>
        <v/>
      </c>
      <c r="F29" s="19">
        <f>D29*PARAMETROS!$B$7</f>
        <v/>
      </c>
      <c r="H29" s="35" t="inlineStr">
        <is>
          <t>Afiliados</t>
        </is>
      </c>
      <c r="I29" s="21">
        <f>SUMIFS(METAS_DIA!$E$2:$E$361,METAS_DIA!$B$2:$B$361,"FIJO",METAS_DIA!$C$2:$C$361,$H29)</f>
        <v/>
      </c>
      <c r="J29" s="21">
        <f>SUMIFS(METAS_DIA!$E$2:$E$361,METAS_DIA!$B$2:$B$361,"FIJO",METAS_DIA!$C$2:$C$361,$H29,METAS_DIA!$A$2:$A$361,"&lt;="&amp;PARAMETROS!$B$9)</f>
        <v/>
      </c>
      <c r="K29" s="21">
        <f>SUMIFS(DIARIO!$E$2:$E$123,DIARIO!$B$2:$B$123,"FIJO",DIARIO!$C$2:$C$123,$H29)</f>
        <v/>
      </c>
      <c r="L29" s="20">
        <f>IFERROR(K29/J29,0)</f>
        <v/>
      </c>
      <c r="M29" s="21">
        <f>K29*PARAMETROS!$B$7</f>
        <v/>
      </c>
      <c r="O29" s="35" t="inlineStr">
        <is>
          <t>Afiliados</t>
        </is>
      </c>
      <c r="P29" s="19">
        <f>IFERROR(B29/I29,0)</f>
        <v/>
      </c>
      <c r="Q29" s="19">
        <f>IFERROR(D29/K29,0)</f>
        <v/>
      </c>
      <c r="R29" s="20">
        <f>IFERROR(Q29/P29,0)</f>
        <v/>
      </c>
    </row>
    <row r="30">
      <c r="A30" s="35" t="inlineStr">
        <is>
          <t>Bing</t>
        </is>
      </c>
      <c r="B30" s="19">
        <f>SUMIFS(METAS_DIA!$D$2:$D$361,METAS_DIA!$B$2:$B$361,"FIJO",METAS_DIA!$C$2:$C$361,$A30)</f>
        <v/>
      </c>
      <c r="C30" s="19">
        <f>SUMIFS(METAS_DIA!$D$2:$D$361,METAS_DIA!$B$2:$B$361,"FIJO",METAS_DIA!$C$2:$C$361,$A30,METAS_DIA!$A$2:$A$361,"&lt;="&amp;PARAMETROS!$B$9)</f>
        <v/>
      </c>
      <c r="D30" s="19">
        <f>SUMIFS(DIARIO!$D$2:$D$123,DIARIO!$B$2:$B$123,"FIJO",DIARIO!$C$2:$C$123,$A30)</f>
        <v/>
      </c>
      <c r="E30" s="20">
        <f>IFERROR(D30/C30,0)</f>
        <v/>
      </c>
      <c r="F30" s="19">
        <f>D30*PARAMETROS!$B$7</f>
        <v/>
      </c>
      <c r="H30" s="35" t="inlineStr">
        <is>
          <t>Bing</t>
        </is>
      </c>
      <c r="I30" s="21">
        <f>SUMIFS(METAS_DIA!$E$2:$E$361,METAS_DIA!$B$2:$B$361,"FIJO",METAS_DIA!$C$2:$C$361,$H30)</f>
        <v/>
      </c>
      <c r="J30" s="21">
        <f>SUMIFS(METAS_DIA!$E$2:$E$361,METAS_DIA!$B$2:$B$361,"FIJO",METAS_DIA!$C$2:$C$361,$H30,METAS_DIA!$A$2:$A$361,"&lt;="&amp;PARAMETROS!$B$9)</f>
        <v/>
      </c>
      <c r="K30" s="21">
        <f>SUMIFS(DIARIO!$E$2:$E$123,DIARIO!$B$2:$B$123,"FIJO",DIARIO!$C$2:$C$123,$H30)</f>
        <v/>
      </c>
      <c r="L30" s="20">
        <f>IFERROR(K30/J30,0)</f>
        <v/>
      </c>
      <c r="M30" s="21">
        <f>K30*PARAMETROS!$B$7</f>
        <v/>
      </c>
      <c r="O30" s="35" t="inlineStr">
        <is>
          <t>Bing</t>
        </is>
      </c>
      <c r="P30" s="19">
        <f>IFERROR(B30/I30,0)</f>
        <v/>
      </c>
      <c r="Q30" s="19">
        <f>IFERROR(D30/K30,0)</f>
        <v/>
      </c>
      <c r="R30" s="20">
        <f>IFERROR(Q30/P30,0)</f>
        <v/>
      </c>
    </row>
    <row r="31">
      <c r="A31" s="35" t="inlineStr">
        <is>
          <t>Meta</t>
        </is>
      </c>
      <c r="B31" s="19">
        <f>SUMIFS(METAS_DIA!$D$2:$D$361,METAS_DIA!$B$2:$B$361,"FIJO",METAS_DIA!$C$2:$C$361,$A31)</f>
        <v/>
      </c>
      <c r="C31" s="19">
        <f>SUMIFS(METAS_DIA!$D$2:$D$361,METAS_DIA!$B$2:$B$361,"FIJO",METAS_DIA!$C$2:$C$361,$A31,METAS_DIA!$A$2:$A$361,"&lt;="&amp;PARAMETROS!$B$9)</f>
        <v/>
      </c>
      <c r="D31" s="19">
        <f>SUMIFS(DIARIO!$D$2:$D$123,DIARIO!$B$2:$B$123,"FIJO",DIARIO!$C$2:$C$123,$A31)</f>
        <v/>
      </c>
      <c r="E31" s="20">
        <f>IFERROR(D31/C31,0)</f>
        <v/>
      </c>
      <c r="F31" s="19">
        <f>D31*PARAMETROS!$B$7</f>
        <v/>
      </c>
      <c r="H31" s="35" t="inlineStr">
        <is>
          <t>Meta</t>
        </is>
      </c>
      <c r="I31" s="21">
        <f>SUMIFS(METAS_DIA!$E$2:$E$361,METAS_DIA!$B$2:$B$361,"FIJO",METAS_DIA!$C$2:$C$361,$H31)</f>
        <v/>
      </c>
      <c r="J31" s="21">
        <f>SUMIFS(METAS_DIA!$E$2:$E$361,METAS_DIA!$B$2:$B$361,"FIJO",METAS_DIA!$C$2:$C$361,$H31,METAS_DIA!$A$2:$A$361,"&lt;="&amp;PARAMETROS!$B$9)</f>
        <v/>
      </c>
      <c r="K31" s="21">
        <f>SUMIFS(DIARIO!$E$2:$E$123,DIARIO!$B$2:$B$123,"FIJO",DIARIO!$C$2:$C$123,$H31)</f>
        <v/>
      </c>
      <c r="L31" s="20">
        <f>IFERROR(K31/J31,0)</f>
        <v/>
      </c>
      <c r="M31" s="21">
        <f>K31*PARAMETROS!$B$7</f>
        <v/>
      </c>
      <c r="O31" s="35" t="inlineStr">
        <is>
          <t>Meta</t>
        </is>
      </c>
      <c r="P31" s="19">
        <f>IFERROR(B31/I31,0)</f>
        <v/>
      </c>
      <c r="Q31" s="19">
        <f>IFERROR(D31/K31,0)</f>
        <v/>
      </c>
      <c r="R31" s="20">
        <f>IFERROR(Q31/P31,0)</f>
        <v/>
      </c>
    </row>
    <row r="32">
      <c r="A32" s="35" t="inlineStr">
        <is>
          <t>Pmax</t>
        </is>
      </c>
      <c r="B32" s="19">
        <f>SUMIFS(METAS_DIA!$D$2:$D$361,METAS_DIA!$B$2:$B$361,"FIJO",METAS_DIA!$C$2:$C$361,$A32)</f>
        <v/>
      </c>
      <c r="C32" s="19">
        <f>SUMIFS(METAS_DIA!$D$2:$D$361,METAS_DIA!$B$2:$B$361,"FIJO",METAS_DIA!$C$2:$C$361,$A32,METAS_DIA!$A$2:$A$361,"&lt;="&amp;PARAMETROS!$B$9)</f>
        <v/>
      </c>
      <c r="D32" s="19">
        <f>SUMIFS(DIARIO!$D$2:$D$123,DIARIO!$B$2:$B$123,"FIJO",DIARIO!$C$2:$C$123,$A32)</f>
        <v/>
      </c>
      <c r="E32" s="20">
        <f>IFERROR(D32/C32,0)</f>
        <v/>
      </c>
      <c r="F32" s="19">
        <f>D32*PARAMETROS!$B$7</f>
        <v/>
      </c>
      <c r="H32" s="35" t="inlineStr">
        <is>
          <t>Pmax</t>
        </is>
      </c>
      <c r="I32" s="21">
        <f>SUMIFS(METAS_DIA!$E$2:$E$361,METAS_DIA!$B$2:$B$361,"FIJO",METAS_DIA!$C$2:$C$361,$H32)</f>
        <v/>
      </c>
      <c r="J32" s="21">
        <f>SUMIFS(METAS_DIA!$E$2:$E$361,METAS_DIA!$B$2:$B$361,"FIJO",METAS_DIA!$C$2:$C$361,$H32,METAS_DIA!$A$2:$A$361,"&lt;="&amp;PARAMETROS!$B$9)</f>
        <v/>
      </c>
      <c r="K32" s="21">
        <f>SUMIFS(DIARIO!$E$2:$E$123,DIARIO!$B$2:$B$123,"FIJO",DIARIO!$C$2:$C$123,$H32)</f>
        <v/>
      </c>
      <c r="L32" s="20">
        <f>IFERROR(K32/J32,0)</f>
        <v/>
      </c>
      <c r="M32" s="21">
        <f>K32*PARAMETROS!$B$7</f>
        <v/>
      </c>
      <c r="O32" s="35" t="inlineStr">
        <is>
          <t>Pmax</t>
        </is>
      </c>
      <c r="P32" s="19">
        <f>IFERROR(B32/I32,0)</f>
        <v/>
      </c>
      <c r="Q32" s="19">
        <f>IFERROR(D32/K32,0)</f>
        <v/>
      </c>
      <c r="R32" s="20">
        <f>IFERROR(Q32/P32,0)</f>
        <v/>
      </c>
    </row>
    <row r="33">
      <c r="A33" s="35" t="inlineStr">
        <is>
          <t>Search</t>
        </is>
      </c>
      <c r="B33" s="19">
        <f>SUMIFS(METAS_DIA!$D$2:$D$361,METAS_DIA!$B$2:$B$361,"FIJO",METAS_DIA!$C$2:$C$361,$A33)</f>
        <v/>
      </c>
      <c r="C33" s="19">
        <f>SUMIFS(METAS_DIA!$D$2:$D$361,METAS_DIA!$B$2:$B$361,"FIJO",METAS_DIA!$C$2:$C$361,$A33,METAS_DIA!$A$2:$A$361,"&lt;="&amp;PARAMETROS!$B$9)</f>
        <v/>
      </c>
      <c r="D33" s="19">
        <f>SUMIFS(DIARIO!$D$2:$D$123,DIARIO!$B$2:$B$123,"FIJO",DIARIO!$C$2:$C$123,$A33)</f>
        <v/>
      </c>
      <c r="E33" s="20">
        <f>IFERROR(D33/C33,0)</f>
        <v/>
      </c>
      <c r="F33" s="19">
        <f>D33*PARAMETROS!$B$7</f>
        <v/>
      </c>
      <c r="H33" s="35" t="inlineStr">
        <is>
          <t>Search</t>
        </is>
      </c>
      <c r="I33" s="21">
        <f>SUMIFS(METAS_DIA!$E$2:$E$361,METAS_DIA!$B$2:$B$361,"FIJO",METAS_DIA!$C$2:$C$361,$H33)</f>
        <v/>
      </c>
      <c r="J33" s="21">
        <f>SUMIFS(METAS_DIA!$E$2:$E$361,METAS_DIA!$B$2:$B$361,"FIJO",METAS_DIA!$C$2:$C$361,$H33,METAS_DIA!$A$2:$A$361,"&lt;="&amp;PARAMETROS!$B$9)</f>
        <v/>
      </c>
      <c r="K33" s="21">
        <f>SUMIFS(DIARIO!$E$2:$E$123,DIARIO!$B$2:$B$123,"FIJO",DIARIO!$C$2:$C$123,$H33)</f>
        <v/>
      </c>
      <c r="L33" s="20">
        <f>IFERROR(K33/J33,0)</f>
        <v/>
      </c>
      <c r="M33" s="21">
        <f>K33*PARAMETROS!$B$7</f>
        <v/>
      </c>
      <c r="O33" s="35" t="inlineStr">
        <is>
          <t>Search</t>
        </is>
      </c>
      <c r="P33" s="19">
        <f>IFERROR(B33/I33,0)</f>
        <v/>
      </c>
      <c r="Q33" s="19">
        <f>IFERROR(D33/K33,0)</f>
        <v/>
      </c>
      <c r="R33" s="20">
        <f>IFERROR(Q33/P33,0)</f>
        <v/>
      </c>
    </row>
    <row r="34">
      <c r="A34" s="35" t="inlineStr">
        <is>
          <t>TikTok</t>
        </is>
      </c>
      <c r="B34" s="19">
        <f>SUMIFS(METAS_DIA!$D$2:$D$361,METAS_DIA!$B$2:$B$361,"FIJO",METAS_DIA!$C$2:$C$361,$A34)</f>
        <v/>
      </c>
      <c r="C34" s="19">
        <f>SUMIFS(METAS_DIA!$D$2:$D$361,METAS_DIA!$B$2:$B$361,"FIJO",METAS_DIA!$C$2:$C$361,$A34,METAS_DIA!$A$2:$A$361,"&lt;="&amp;PARAMETROS!$B$9)</f>
        <v/>
      </c>
      <c r="D34" s="19">
        <f>SUMIFS(DIARIO!$D$2:$D$123,DIARIO!$B$2:$B$123,"FIJO",DIARIO!$C$2:$C$123,$A34)</f>
        <v/>
      </c>
      <c r="E34" s="20">
        <f>IFERROR(D34/C34,0)</f>
        <v/>
      </c>
      <c r="F34" s="19">
        <f>D34*PARAMETROS!$B$7</f>
        <v/>
      </c>
      <c r="H34" s="35" t="inlineStr">
        <is>
          <t>TikTok</t>
        </is>
      </c>
      <c r="I34" s="21">
        <f>SUMIFS(METAS_DIA!$E$2:$E$361,METAS_DIA!$B$2:$B$361,"FIJO",METAS_DIA!$C$2:$C$361,$H34)</f>
        <v/>
      </c>
      <c r="J34" s="21">
        <f>SUMIFS(METAS_DIA!$E$2:$E$361,METAS_DIA!$B$2:$B$361,"FIJO",METAS_DIA!$C$2:$C$361,$H34,METAS_DIA!$A$2:$A$361,"&lt;="&amp;PARAMETROS!$B$9)</f>
        <v/>
      </c>
      <c r="K34" s="21">
        <f>SUMIFS(DIARIO!$E$2:$E$123,DIARIO!$B$2:$B$123,"FIJO",DIARIO!$C$2:$C$123,$H34)</f>
        <v/>
      </c>
      <c r="L34" s="20">
        <f>IFERROR(K34/J34,0)</f>
        <v/>
      </c>
      <c r="M34" s="21">
        <f>K34*PARAMETROS!$B$7</f>
        <v/>
      </c>
      <c r="O34" s="35" t="inlineStr">
        <is>
          <t>TikTok</t>
        </is>
      </c>
      <c r="P34" s="19">
        <f>IFERROR(B34/I34,0)</f>
        <v/>
      </c>
      <c r="Q34" s="19">
        <f>IFERROR(D34/K34,0)</f>
        <v/>
      </c>
      <c r="R34" s="20">
        <f>IFERROR(Q34/P34,0)</f>
        <v/>
      </c>
    </row>
    <row r="35">
      <c r="A35" s="22" t="inlineStr">
        <is>
          <t>Total</t>
        </is>
      </c>
      <c r="B35" s="23">
        <f>SUM(B28:B34)</f>
        <v/>
      </c>
      <c r="C35" s="23">
        <f>SUM(C28:C34)</f>
        <v/>
      </c>
      <c r="D35" s="23">
        <f>SUM(D28:D34)</f>
        <v/>
      </c>
      <c r="E35" s="24">
        <f>IFERROR(D35/C35,0)</f>
        <v/>
      </c>
      <c r="F35" s="23">
        <f>SUM(F28:F34)</f>
        <v/>
      </c>
      <c r="H35" s="22" t="inlineStr">
        <is>
          <t>Total</t>
        </is>
      </c>
      <c r="I35" s="25">
        <f>SUM(I28:I34)</f>
        <v/>
      </c>
      <c r="J35" s="25">
        <f>SUM(J28:J34)</f>
        <v/>
      </c>
      <c r="K35" s="25">
        <f>SUM(K28:K34)</f>
        <v/>
      </c>
      <c r="L35" s="24">
        <f>IFERROR(K35/J35,0)</f>
        <v/>
      </c>
      <c r="M35" s="25">
        <f>SUM(M28:M34)</f>
        <v/>
      </c>
      <c r="O35" s="22" t="inlineStr">
        <is>
          <t>Total</t>
        </is>
      </c>
      <c r="P35" s="23">
        <f>IFERROR(B35/I35,0)</f>
        <v/>
      </c>
      <c r="Q35" s="23">
        <f>IFERROR(D35/K35,0)</f>
        <v/>
      </c>
      <c r="R35" s="24">
        <f>IFERROR(Q35/P35,0)</f>
        <v/>
      </c>
    </row>
    <row r="37">
      <c r="A37" s="36" t="inlineStr">
        <is>
          <t>EMBUDO Y COSTOS UNITARIOS FIJO  ·  sin meta asociada</t>
        </is>
      </c>
    </row>
    <row r="38">
      <c r="A38" s="34" t="inlineStr">
        <is>
          <t>Canal 2</t>
        </is>
      </c>
      <c r="B38" s="34" t="inlineStr">
        <is>
          <t>Q Neto</t>
        </is>
      </c>
      <c r="C38" s="34" t="inlineStr">
        <is>
          <t>Q Neto proy</t>
        </is>
      </c>
      <c r="D38" s="34" t="inlineStr">
        <is>
          <t>CPL Neto</t>
        </is>
      </c>
      <c r="E38" s="34" t="inlineStr">
        <is>
          <t>Q Emi</t>
        </is>
      </c>
      <c r="F38" s="34" t="inlineStr">
        <is>
          <t>Q Emi proy</t>
        </is>
      </c>
      <c r="G38" s="34" t="inlineStr">
        <is>
          <t>CPE</t>
        </is>
      </c>
      <c r="H38" s="34" t="inlineStr">
        <is>
          <t>Q Ter</t>
        </is>
      </c>
      <c r="I38" s="34" t="inlineStr">
        <is>
          <t>Q Ter proy</t>
        </is>
      </c>
      <c r="J38" s="34" t="inlineStr">
        <is>
          <t>CPA</t>
        </is>
      </c>
    </row>
    <row r="39">
      <c r="A39" s="35" t="inlineStr">
        <is>
          <t>*Sin Clasificar*</t>
        </is>
      </c>
      <c r="B39" s="37">
        <f>SUMIFS(DIARIO!$F$2:$F$123,DIARIO!$B$2:$B$123,"FIJO",DIARIO!$C$2:$C$123,$A39)</f>
        <v/>
      </c>
      <c r="C39" s="37">
        <f>B39*PARAMETROS!$B$7</f>
        <v/>
      </c>
      <c r="D39" s="19">
        <f>IFERROR(SUMIFS(DIARIO!$D$2:$D$123,DIARIO!$B$2:$B$123,"FIJO",DIARIO!$C$2:$C$123,$A39)/B39,0)</f>
        <v/>
      </c>
      <c r="E39" s="37">
        <f>SUMIFS(DIARIO!$G$2:$G$123,DIARIO!$B$2:$B$123,"FIJO",DIARIO!$C$2:$C$123,$A39)</f>
        <v/>
      </c>
      <c r="F39" s="37">
        <f>E39*PARAMETROS!$B$7</f>
        <v/>
      </c>
      <c r="G39" s="19">
        <f>IFERROR(SUMIFS(DIARIO!$D$2:$D$123,DIARIO!$B$2:$B$123,"FIJO",DIARIO!$C$2:$C$123,$A39)/E39,0)</f>
        <v/>
      </c>
      <c r="H39" s="37">
        <f>SUMIFS(DIARIO!$H$2:$H$123,DIARIO!$B$2:$B$123,"FIJO",DIARIO!$C$2:$C$123,$A39)</f>
        <v/>
      </c>
      <c r="I39" s="37">
        <f>H39*PARAMETROS!$B$7</f>
        <v/>
      </c>
      <c r="J39" s="19">
        <f>IFERROR(SUMIFS(DIARIO!$D$2:$D$123,DIARIO!$B$2:$B$123,"FIJO",DIARIO!$C$2:$C$123,$A39)/H39,0)</f>
        <v/>
      </c>
    </row>
    <row r="40">
      <c r="A40" s="35" t="inlineStr">
        <is>
          <t>Afiliados</t>
        </is>
      </c>
      <c r="B40" s="37">
        <f>SUMIFS(DIARIO!$F$2:$F$123,DIARIO!$B$2:$B$123,"FIJO",DIARIO!$C$2:$C$123,$A40)</f>
        <v/>
      </c>
      <c r="C40" s="37">
        <f>B40*PARAMETROS!$B$7</f>
        <v/>
      </c>
      <c r="D40" s="19">
        <f>IFERROR(SUMIFS(DIARIO!$D$2:$D$123,DIARIO!$B$2:$B$123,"FIJO",DIARIO!$C$2:$C$123,$A40)/B40,0)</f>
        <v/>
      </c>
      <c r="E40" s="37">
        <f>SUMIFS(DIARIO!$G$2:$G$123,DIARIO!$B$2:$B$123,"FIJO",DIARIO!$C$2:$C$123,$A40)</f>
        <v/>
      </c>
      <c r="F40" s="37">
        <f>E40*PARAMETROS!$B$7</f>
        <v/>
      </c>
      <c r="G40" s="19">
        <f>IFERROR(SUMIFS(DIARIO!$D$2:$D$123,DIARIO!$B$2:$B$123,"FIJO",DIARIO!$C$2:$C$123,$A40)/E40,0)</f>
        <v/>
      </c>
      <c r="H40" s="37">
        <f>SUMIFS(DIARIO!$H$2:$H$123,DIARIO!$B$2:$B$123,"FIJO",DIARIO!$C$2:$C$123,$A40)</f>
        <v/>
      </c>
      <c r="I40" s="37">
        <f>H40*PARAMETROS!$B$7</f>
        <v/>
      </c>
      <c r="J40" s="19">
        <f>IFERROR(SUMIFS(DIARIO!$D$2:$D$123,DIARIO!$B$2:$B$123,"FIJO",DIARIO!$C$2:$C$123,$A40)/H40,0)</f>
        <v/>
      </c>
    </row>
    <row r="41">
      <c r="A41" s="35" t="inlineStr">
        <is>
          <t>Bing</t>
        </is>
      </c>
      <c r="B41" s="37">
        <f>SUMIFS(DIARIO!$F$2:$F$123,DIARIO!$B$2:$B$123,"FIJO",DIARIO!$C$2:$C$123,$A41)</f>
        <v/>
      </c>
      <c r="C41" s="37">
        <f>B41*PARAMETROS!$B$7</f>
        <v/>
      </c>
      <c r="D41" s="19">
        <f>IFERROR(SUMIFS(DIARIO!$D$2:$D$123,DIARIO!$B$2:$B$123,"FIJO",DIARIO!$C$2:$C$123,$A41)/B41,0)</f>
        <v/>
      </c>
      <c r="E41" s="37">
        <f>SUMIFS(DIARIO!$G$2:$G$123,DIARIO!$B$2:$B$123,"FIJO",DIARIO!$C$2:$C$123,$A41)</f>
        <v/>
      </c>
      <c r="F41" s="37">
        <f>E41*PARAMETROS!$B$7</f>
        <v/>
      </c>
      <c r="G41" s="19">
        <f>IFERROR(SUMIFS(DIARIO!$D$2:$D$123,DIARIO!$B$2:$B$123,"FIJO",DIARIO!$C$2:$C$123,$A41)/E41,0)</f>
        <v/>
      </c>
      <c r="H41" s="37">
        <f>SUMIFS(DIARIO!$H$2:$H$123,DIARIO!$B$2:$B$123,"FIJO",DIARIO!$C$2:$C$123,$A41)</f>
        <v/>
      </c>
      <c r="I41" s="37">
        <f>H41*PARAMETROS!$B$7</f>
        <v/>
      </c>
      <c r="J41" s="19">
        <f>IFERROR(SUMIFS(DIARIO!$D$2:$D$123,DIARIO!$B$2:$B$123,"FIJO",DIARIO!$C$2:$C$123,$A41)/H41,0)</f>
        <v/>
      </c>
    </row>
    <row r="42">
      <c r="A42" s="35" t="inlineStr">
        <is>
          <t>Meta</t>
        </is>
      </c>
      <c r="B42" s="37">
        <f>SUMIFS(DIARIO!$F$2:$F$123,DIARIO!$B$2:$B$123,"FIJO",DIARIO!$C$2:$C$123,$A42)</f>
        <v/>
      </c>
      <c r="C42" s="37">
        <f>B42*PARAMETROS!$B$7</f>
        <v/>
      </c>
      <c r="D42" s="19">
        <f>IFERROR(SUMIFS(DIARIO!$D$2:$D$123,DIARIO!$B$2:$B$123,"FIJO",DIARIO!$C$2:$C$123,$A42)/B42,0)</f>
        <v/>
      </c>
      <c r="E42" s="37">
        <f>SUMIFS(DIARIO!$G$2:$G$123,DIARIO!$B$2:$B$123,"FIJO",DIARIO!$C$2:$C$123,$A42)</f>
        <v/>
      </c>
      <c r="F42" s="37">
        <f>E42*PARAMETROS!$B$7</f>
        <v/>
      </c>
      <c r="G42" s="19">
        <f>IFERROR(SUMIFS(DIARIO!$D$2:$D$123,DIARIO!$B$2:$B$123,"FIJO",DIARIO!$C$2:$C$123,$A42)/E42,0)</f>
        <v/>
      </c>
      <c r="H42" s="37">
        <f>SUMIFS(DIARIO!$H$2:$H$123,DIARIO!$B$2:$B$123,"FIJO",DIARIO!$C$2:$C$123,$A42)</f>
        <v/>
      </c>
      <c r="I42" s="37">
        <f>H42*PARAMETROS!$B$7</f>
        <v/>
      </c>
      <c r="J42" s="19">
        <f>IFERROR(SUMIFS(DIARIO!$D$2:$D$123,DIARIO!$B$2:$B$123,"FIJO",DIARIO!$C$2:$C$123,$A42)/H42,0)</f>
        <v/>
      </c>
    </row>
    <row r="43">
      <c r="A43" s="35" t="inlineStr">
        <is>
          <t>Pmax</t>
        </is>
      </c>
      <c r="B43" s="37">
        <f>SUMIFS(DIARIO!$F$2:$F$123,DIARIO!$B$2:$B$123,"FIJO",DIARIO!$C$2:$C$123,$A43)</f>
        <v/>
      </c>
      <c r="C43" s="37">
        <f>B43*PARAMETROS!$B$7</f>
        <v/>
      </c>
      <c r="D43" s="19">
        <f>IFERROR(SUMIFS(DIARIO!$D$2:$D$123,DIARIO!$B$2:$B$123,"FIJO",DIARIO!$C$2:$C$123,$A43)/B43,0)</f>
        <v/>
      </c>
      <c r="E43" s="37">
        <f>SUMIFS(DIARIO!$G$2:$G$123,DIARIO!$B$2:$B$123,"FIJO",DIARIO!$C$2:$C$123,$A43)</f>
        <v/>
      </c>
      <c r="F43" s="37">
        <f>E43*PARAMETROS!$B$7</f>
        <v/>
      </c>
      <c r="G43" s="19">
        <f>IFERROR(SUMIFS(DIARIO!$D$2:$D$123,DIARIO!$B$2:$B$123,"FIJO",DIARIO!$C$2:$C$123,$A43)/E43,0)</f>
        <v/>
      </c>
      <c r="H43" s="37">
        <f>SUMIFS(DIARIO!$H$2:$H$123,DIARIO!$B$2:$B$123,"FIJO",DIARIO!$C$2:$C$123,$A43)</f>
        <v/>
      </c>
      <c r="I43" s="37">
        <f>H43*PARAMETROS!$B$7</f>
        <v/>
      </c>
      <c r="J43" s="19">
        <f>IFERROR(SUMIFS(DIARIO!$D$2:$D$123,DIARIO!$B$2:$B$123,"FIJO",DIARIO!$C$2:$C$123,$A43)/H43,0)</f>
        <v/>
      </c>
    </row>
    <row r="44">
      <c r="A44" s="35" t="inlineStr">
        <is>
          <t>Search</t>
        </is>
      </c>
      <c r="B44" s="37">
        <f>SUMIFS(DIARIO!$F$2:$F$123,DIARIO!$B$2:$B$123,"FIJO",DIARIO!$C$2:$C$123,$A44)</f>
        <v/>
      </c>
      <c r="C44" s="37">
        <f>B44*PARAMETROS!$B$7</f>
        <v/>
      </c>
      <c r="D44" s="19">
        <f>IFERROR(SUMIFS(DIARIO!$D$2:$D$123,DIARIO!$B$2:$B$123,"FIJO",DIARIO!$C$2:$C$123,$A44)/B44,0)</f>
        <v/>
      </c>
      <c r="E44" s="37">
        <f>SUMIFS(DIARIO!$G$2:$G$123,DIARIO!$B$2:$B$123,"FIJO",DIARIO!$C$2:$C$123,$A44)</f>
        <v/>
      </c>
      <c r="F44" s="37">
        <f>E44*PARAMETROS!$B$7</f>
        <v/>
      </c>
      <c r="G44" s="19">
        <f>IFERROR(SUMIFS(DIARIO!$D$2:$D$123,DIARIO!$B$2:$B$123,"FIJO",DIARIO!$C$2:$C$123,$A44)/E44,0)</f>
        <v/>
      </c>
      <c r="H44" s="37">
        <f>SUMIFS(DIARIO!$H$2:$H$123,DIARIO!$B$2:$B$123,"FIJO",DIARIO!$C$2:$C$123,$A44)</f>
        <v/>
      </c>
      <c r="I44" s="37">
        <f>H44*PARAMETROS!$B$7</f>
        <v/>
      </c>
      <c r="J44" s="19">
        <f>IFERROR(SUMIFS(DIARIO!$D$2:$D$123,DIARIO!$B$2:$B$123,"FIJO",DIARIO!$C$2:$C$123,$A44)/H44,0)</f>
        <v/>
      </c>
    </row>
    <row r="45">
      <c r="A45" s="35" t="inlineStr">
        <is>
          <t>TikTok</t>
        </is>
      </c>
      <c r="B45" s="37">
        <f>SUMIFS(DIARIO!$F$2:$F$123,DIARIO!$B$2:$B$123,"FIJO",DIARIO!$C$2:$C$123,$A45)</f>
        <v/>
      </c>
      <c r="C45" s="37">
        <f>B45*PARAMETROS!$B$7</f>
        <v/>
      </c>
      <c r="D45" s="19">
        <f>IFERROR(SUMIFS(DIARIO!$D$2:$D$123,DIARIO!$B$2:$B$123,"FIJO",DIARIO!$C$2:$C$123,$A45)/B45,0)</f>
        <v/>
      </c>
      <c r="E45" s="37">
        <f>SUMIFS(DIARIO!$G$2:$G$123,DIARIO!$B$2:$B$123,"FIJO",DIARIO!$C$2:$C$123,$A45)</f>
        <v/>
      </c>
      <c r="F45" s="37">
        <f>E45*PARAMETROS!$B$7</f>
        <v/>
      </c>
      <c r="G45" s="19">
        <f>IFERROR(SUMIFS(DIARIO!$D$2:$D$123,DIARIO!$B$2:$B$123,"FIJO",DIARIO!$C$2:$C$123,$A45)/E45,0)</f>
        <v/>
      </c>
      <c r="H45" s="37">
        <f>SUMIFS(DIARIO!$H$2:$H$123,DIARIO!$B$2:$B$123,"FIJO",DIARIO!$C$2:$C$123,$A45)</f>
        <v/>
      </c>
      <c r="I45" s="37">
        <f>H45*PARAMETROS!$B$7</f>
        <v/>
      </c>
      <c r="J45" s="19">
        <f>IFERROR(SUMIFS(DIARIO!$D$2:$D$123,DIARIO!$B$2:$B$123,"FIJO",DIARIO!$C$2:$C$123,$A45)/H45,0)</f>
        <v/>
      </c>
    </row>
    <row r="46">
      <c r="A46" s="22" t="inlineStr">
        <is>
          <t>Total</t>
        </is>
      </c>
      <c r="B46" s="38">
        <f>SUM(B39:B45)</f>
        <v/>
      </c>
      <c r="C46" s="38">
        <f>SUM(C39:C45)</f>
        <v/>
      </c>
      <c r="D46" s="23">
        <f>IFERROR(SUMIFS(DIARIO!$D$2:$D$123,DIARIO!$B$2:$B$123,"FIJO")/B46,0)</f>
        <v/>
      </c>
      <c r="E46" s="38">
        <f>SUM(E39:E45)</f>
        <v/>
      </c>
      <c r="F46" s="38">
        <f>SUM(F39:F45)</f>
        <v/>
      </c>
      <c r="G46" s="23">
        <f>IFERROR(SUMIFS(DIARIO!$D$2:$D$123,DIARIO!$B$2:$B$123,"FIJO")/E46,0)</f>
        <v/>
      </c>
      <c r="H46" s="38">
        <f>SUM(H39:H45)</f>
        <v/>
      </c>
      <c r="I46" s="38">
        <f>SUM(I39:I45)</f>
        <v/>
      </c>
      <c r="J46" s="23">
        <f>IFERROR(SUMIFS(DIARIO!$D$2:$D$123,DIARIO!$B$2:$B$123,"FIJO")/H46,0)</f>
        <v/>
      </c>
    </row>
    <row r="48">
      <c r="A48" s="39" t="inlineStr">
        <is>
          <t>COSTOS MIXTO</t>
        </is>
      </c>
      <c r="H48" s="39" t="inlineStr">
        <is>
          <t>LEADS MIXTO</t>
        </is>
      </c>
      <c r="O48" s="39" t="inlineStr">
        <is>
          <t>CPL MIXTO</t>
        </is>
      </c>
    </row>
    <row r="49">
      <c r="A49" s="34" t="inlineStr">
        <is>
          <t>Canal 2</t>
        </is>
      </c>
      <c r="B49" s="34" t="inlineStr">
        <is>
          <t>Meta Costo mes</t>
        </is>
      </c>
      <c r="C49" s="34" t="inlineStr">
        <is>
          <t>Meta a hoy</t>
        </is>
      </c>
      <c r="D49" s="34" t="inlineStr">
        <is>
          <t>Real Costo</t>
        </is>
      </c>
      <c r="E49" s="34" t="inlineStr">
        <is>
          <t>% a hoy</t>
        </is>
      </c>
      <c r="F49" s="34" t="inlineStr">
        <is>
          <t>Costo proyectado</t>
        </is>
      </c>
      <c r="H49" s="34" t="inlineStr">
        <is>
          <t>Canal 2</t>
        </is>
      </c>
      <c r="I49" s="34" t="inlineStr">
        <is>
          <t>Meta Leads mes</t>
        </is>
      </c>
      <c r="J49" s="34" t="inlineStr">
        <is>
          <t>Meta a hoy</t>
        </is>
      </c>
      <c r="K49" s="34" t="inlineStr">
        <is>
          <t>Real Leads</t>
        </is>
      </c>
      <c r="L49" s="34" t="inlineStr">
        <is>
          <t>% a hoy</t>
        </is>
      </c>
      <c r="M49" s="34" t="inlineStr">
        <is>
          <t>Leads Proyectados</t>
        </is>
      </c>
      <c r="O49" s="34" t="inlineStr">
        <is>
          <t>Canal 2</t>
        </is>
      </c>
      <c r="P49" s="34" t="inlineStr">
        <is>
          <t>CPL Meta</t>
        </is>
      </c>
      <c r="Q49" s="34" t="inlineStr">
        <is>
          <t>CPL</t>
        </is>
      </c>
      <c r="R49" s="34" t="inlineStr">
        <is>
          <t>% Cumplimiento</t>
        </is>
      </c>
    </row>
    <row r="50">
      <c r="A50" s="35" t="inlineStr">
        <is>
          <t>Bing Mixto</t>
        </is>
      </c>
      <c r="B50" s="19">
        <f>SUMIFS(METAS_DIA!$D$2:$D$361,METAS_DIA!$B$2:$B$361,"MIXTO",METAS_DIA!$C$2:$C$361,$A50)</f>
        <v/>
      </c>
      <c r="C50" s="19">
        <f>SUMIFS(METAS_DIA!$D$2:$D$361,METAS_DIA!$B$2:$B$361,"MIXTO",METAS_DIA!$C$2:$C$361,$A50,METAS_DIA!$A$2:$A$361,"&lt;="&amp;PARAMETROS!$B$9)</f>
        <v/>
      </c>
      <c r="D50" s="19">
        <f>SUMIFS(DIARIO!$D$2:$D$123,DIARIO!$B$2:$B$123,"MIXTO",DIARIO!$C$2:$C$123,$A50)</f>
        <v/>
      </c>
      <c r="E50" s="20">
        <f>IFERROR(D50/C50,0)</f>
        <v/>
      </c>
      <c r="F50" s="19">
        <f>D50*PARAMETROS!$B$7</f>
        <v/>
      </c>
      <c r="H50" s="35" t="inlineStr">
        <is>
          <t>Bing Mixto</t>
        </is>
      </c>
      <c r="I50" s="21">
        <f>SUMIFS(METAS_DIA!$E$2:$E$361,METAS_DIA!$B$2:$B$361,"MIXTO",METAS_DIA!$C$2:$C$361,$H50)</f>
        <v/>
      </c>
      <c r="J50" s="21">
        <f>SUMIFS(METAS_DIA!$E$2:$E$361,METAS_DIA!$B$2:$B$361,"MIXTO",METAS_DIA!$C$2:$C$361,$H50,METAS_DIA!$A$2:$A$361,"&lt;="&amp;PARAMETROS!$B$9)</f>
        <v/>
      </c>
      <c r="K50" s="21">
        <f>SUMIFS(DIARIO!$E$2:$E$123,DIARIO!$B$2:$B$123,"MIXTO",DIARIO!$C$2:$C$123,$H50)</f>
        <v/>
      </c>
      <c r="L50" s="20">
        <f>IFERROR(K50/J50,0)</f>
        <v/>
      </c>
      <c r="M50" s="21">
        <f>K50*PARAMETROS!$B$7</f>
        <v/>
      </c>
      <c r="O50" s="35" t="inlineStr">
        <is>
          <t>Bing Mixto</t>
        </is>
      </c>
      <c r="P50" s="19">
        <f>IFERROR(B50/I50,0)</f>
        <v/>
      </c>
      <c r="Q50" s="19">
        <f>IFERROR(D50/K50,0)</f>
        <v/>
      </c>
      <c r="R50" s="20">
        <f>IFERROR(Q50/P50,0)</f>
        <v/>
      </c>
    </row>
    <row r="51">
      <c r="A51" s="35" t="inlineStr">
        <is>
          <t>Pmax Mixto</t>
        </is>
      </c>
      <c r="B51" s="19">
        <f>SUMIFS(METAS_DIA!$D$2:$D$361,METAS_DIA!$B$2:$B$361,"MIXTO",METAS_DIA!$C$2:$C$361,$A51)</f>
        <v/>
      </c>
      <c r="C51" s="19">
        <f>SUMIFS(METAS_DIA!$D$2:$D$361,METAS_DIA!$B$2:$B$361,"MIXTO",METAS_DIA!$C$2:$C$361,$A51,METAS_DIA!$A$2:$A$361,"&lt;="&amp;PARAMETROS!$B$9)</f>
        <v/>
      </c>
      <c r="D51" s="19">
        <f>SUMIFS(DIARIO!$D$2:$D$123,DIARIO!$B$2:$B$123,"MIXTO",DIARIO!$C$2:$C$123,$A51)</f>
        <v/>
      </c>
      <c r="E51" s="20">
        <f>IFERROR(D51/C51,0)</f>
        <v/>
      </c>
      <c r="F51" s="19">
        <f>D51*PARAMETROS!$B$7</f>
        <v/>
      </c>
      <c r="H51" s="35" t="inlineStr">
        <is>
          <t>Pmax Mixto</t>
        </is>
      </c>
      <c r="I51" s="21">
        <f>SUMIFS(METAS_DIA!$E$2:$E$361,METAS_DIA!$B$2:$B$361,"MIXTO",METAS_DIA!$C$2:$C$361,$H51)</f>
        <v/>
      </c>
      <c r="J51" s="21">
        <f>SUMIFS(METAS_DIA!$E$2:$E$361,METAS_DIA!$B$2:$B$361,"MIXTO",METAS_DIA!$C$2:$C$361,$H51,METAS_DIA!$A$2:$A$361,"&lt;="&amp;PARAMETROS!$B$9)</f>
        <v/>
      </c>
      <c r="K51" s="21">
        <f>SUMIFS(DIARIO!$E$2:$E$123,DIARIO!$B$2:$B$123,"MIXTO",DIARIO!$C$2:$C$123,$H51)</f>
        <v/>
      </c>
      <c r="L51" s="20">
        <f>IFERROR(K51/J51,0)</f>
        <v/>
      </c>
      <c r="M51" s="21">
        <f>K51*PARAMETROS!$B$7</f>
        <v/>
      </c>
      <c r="O51" s="35" t="inlineStr">
        <is>
          <t>Pmax Mixto</t>
        </is>
      </c>
      <c r="P51" s="19">
        <f>IFERROR(B51/I51,0)</f>
        <v/>
      </c>
      <c r="Q51" s="19">
        <f>IFERROR(D51/K51,0)</f>
        <v/>
      </c>
      <c r="R51" s="20">
        <f>IFERROR(Q51/P51,0)</f>
        <v/>
      </c>
    </row>
    <row r="52">
      <c r="A52" s="35" t="inlineStr">
        <is>
          <t>Search Mixto</t>
        </is>
      </c>
      <c r="B52" s="19">
        <f>SUMIFS(METAS_DIA!$D$2:$D$361,METAS_DIA!$B$2:$B$361,"MIXTO",METAS_DIA!$C$2:$C$361,$A52)</f>
        <v/>
      </c>
      <c r="C52" s="19">
        <f>SUMIFS(METAS_DIA!$D$2:$D$361,METAS_DIA!$B$2:$B$361,"MIXTO",METAS_DIA!$C$2:$C$361,$A52,METAS_DIA!$A$2:$A$361,"&lt;="&amp;PARAMETROS!$B$9)</f>
        <v/>
      </c>
      <c r="D52" s="19">
        <f>SUMIFS(DIARIO!$D$2:$D$123,DIARIO!$B$2:$B$123,"MIXTO",DIARIO!$C$2:$C$123,$A52)</f>
        <v/>
      </c>
      <c r="E52" s="20">
        <f>IFERROR(D52/C52,0)</f>
        <v/>
      </c>
      <c r="F52" s="19">
        <f>D52*PARAMETROS!$B$7</f>
        <v/>
      </c>
      <c r="H52" s="35" t="inlineStr">
        <is>
          <t>Search Mixto</t>
        </is>
      </c>
      <c r="I52" s="21">
        <f>SUMIFS(METAS_DIA!$E$2:$E$361,METAS_DIA!$B$2:$B$361,"MIXTO",METAS_DIA!$C$2:$C$361,$H52)</f>
        <v/>
      </c>
      <c r="J52" s="21">
        <f>SUMIFS(METAS_DIA!$E$2:$E$361,METAS_DIA!$B$2:$B$361,"MIXTO",METAS_DIA!$C$2:$C$361,$H52,METAS_DIA!$A$2:$A$361,"&lt;="&amp;PARAMETROS!$B$9)</f>
        <v/>
      </c>
      <c r="K52" s="21">
        <f>SUMIFS(DIARIO!$E$2:$E$123,DIARIO!$B$2:$B$123,"MIXTO",DIARIO!$C$2:$C$123,$H52)</f>
        <v/>
      </c>
      <c r="L52" s="20">
        <f>IFERROR(K52/J52,0)</f>
        <v/>
      </c>
      <c r="M52" s="21">
        <f>K52*PARAMETROS!$B$7</f>
        <v/>
      </c>
      <c r="O52" s="35" t="inlineStr">
        <is>
          <t>Search Mixto</t>
        </is>
      </c>
      <c r="P52" s="19">
        <f>IFERROR(B52/I52,0)</f>
        <v/>
      </c>
      <c r="Q52" s="19">
        <f>IFERROR(D52/K52,0)</f>
        <v/>
      </c>
      <c r="R52" s="20">
        <f>IFERROR(Q52/P52,0)</f>
        <v/>
      </c>
    </row>
    <row r="53">
      <c r="A53" s="22" t="inlineStr">
        <is>
          <t>Total</t>
        </is>
      </c>
      <c r="B53" s="23">
        <f>SUM(B50:B52)</f>
        <v/>
      </c>
      <c r="C53" s="23">
        <f>SUM(C50:C52)</f>
        <v/>
      </c>
      <c r="D53" s="23">
        <f>SUM(D50:D52)</f>
        <v/>
      </c>
      <c r="E53" s="24">
        <f>IFERROR(D53/C53,0)</f>
        <v/>
      </c>
      <c r="F53" s="23">
        <f>SUM(F50:F52)</f>
        <v/>
      </c>
      <c r="H53" s="22" t="inlineStr">
        <is>
          <t>Total</t>
        </is>
      </c>
      <c r="I53" s="25">
        <f>SUM(I50:I52)</f>
        <v/>
      </c>
      <c r="J53" s="25">
        <f>SUM(J50:J52)</f>
        <v/>
      </c>
      <c r="K53" s="25">
        <f>SUM(K50:K52)</f>
        <v/>
      </c>
      <c r="L53" s="24">
        <f>IFERROR(K53/J53,0)</f>
        <v/>
      </c>
      <c r="M53" s="25">
        <f>SUM(M50:M52)</f>
        <v/>
      </c>
      <c r="O53" s="22" t="inlineStr">
        <is>
          <t>Total</t>
        </is>
      </c>
      <c r="P53" s="23">
        <f>IFERROR(B53/I53,0)</f>
        <v/>
      </c>
      <c r="Q53" s="23">
        <f>IFERROR(D53/K53,0)</f>
        <v/>
      </c>
      <c r="R53" s="24">
        <f>IFERROR(Q53/P53,0)</f>
        <v/>
      </c>
    </row>
    <row r="55">
      <c r="A55" s="36" t="inlineStr">
        <is>
          <t>EMBUDO Y COSTOS UNITARIOS MIXTO  ·  sin meta asociada</t>
        </is>
      </c>
    </row>
    <row r="56">
      <c r="A56" s="34" t="inlineStr">
        <is>
          <t>Canal 2</t>
        </is>
      </c>
      <c r="B56" s="34" t="inlineStr">
        <is>
          <t>Q Neto</t>
        </is>
      </c>
      <c r="C56" s="34" t="inlineStr">
        <is>
          <t>Q Neto proy</t>
        </is>
      </c>
      <c r="D56" s="34" t="inlineStr">
        <is>
          <t>CPL Neto</t>
        </is>
      </c>
      <c r="E56" s="34" t="inlineStr">
        <is>
          <t>Q Emi</t>
        </is>
      </c>
      <c r="F56" s="34" t="inlineStr">
        <is>
          <t>Q Emi proy</t>
        </is>
      </c>
      <c r="G56" s="34" t="inlineStr">
        <is>
          <t>CPE</t>
        </is>
      </c>
      <c r="H56" s="34" t="inlineStr">
        <is>
          <t>Q Ter</t>
        </is>
      </c>
      <c r="I56" s="34" t="inlineStr">
        <is>
          <t>Q Ter proy</t>
        </is>
      </c>
      <c r="J56" s="34" t="inlineStr">
        <is>
          <t>CPA</t>
        </is>
      </c>
    </row>
    <row r="57">
      <c r="A57" s="35" t="inlineStr">
        <is>
          <t>Bing Mixto</t>
        </is>
      </c>
      <c r="B57" s="37">
        <f>SUMIFS(DIARIO!$F$2:$F$123,DIARIO!$B$2:$B$123,"MIXTO",DIARIO!$C$2:$C$123,$A57)</f>
        <v/>
      </c>
      <c r="C57" s="37">
        <f>B57*PARAMETROS!$B$7</f>
        <v/>
      </c>
      <c r="D57" s="19">
        <f>IFERROR(SUMIFS(DIARIO!$D$2:$D$123,DIARIO!$B$2:$B$123,"MIXTO",DIARIO!$C$2:$C$123,$A57)/B57,0)</f>
        <v/>
      </c>
      <c r="E57" s="37">
        <f>SUMIFS(DIARIO!$G$2:$G$123,DIARIO!$B$2:$B$123,"MIXTO",DIARIO!$C$2:$C$123,$A57)</f>
        <v/>
      </c>
      <c r="F57" s="37">
        <f>E57*PARAMETROS!$B$7</f>
        <v/>
      </c>
      <c r="G57" s="19">
        <f>IFERROR(SUMIFS(DIARIO!$D$2:$D$123,DIARIO!$B$2:$B$123,"MIXTO",DIARIO!$C$2:$C$123,$A57)/E57,0)</f>
        <v/>
      </c>
      <c r="H57" s="37">
        <f>SUMIFS(DIARIO!$H$2:$H$123,DIARIO!$B$2:$B$123,"MIXTO",DIARIO!$C$2:$C$123,$A57)</f>
        <v/>
      </c>
      <c r="I57" s="37">
        <f>H57*PARAMETROS!$B$7</f>
        <v/>
      </c>
      <c r="J57" s="19">
        <f>IFERROR(SUMIFS(DIARIO!$D$2:$D$123,DIARIO!$B$2:$B$123,"MIXTO",DIARIO!$C$2:$C$123,$A57)/H57,0)</f>
        <v/>
      </c>
    </row>
    <row r="58">
      <c r="A58" s="35" t="inlineStr">
        <is>
          <t>Pmax Mixto</t>
        </is>
      </c>
      <c r="B58" s="37">
        <f>SUMIFS(DIARIO!$F$2:$F$123,DIARIO!$B$2:$B$123,"MIXTO",DIARIO!$C$2:$C$123,$A58)</f>
        <v/>
      </c>
      <c r="C58" s="37">
        <f>B58*PARAMETROS!$B$7</f>
        <v/>
      </c>
      <c r="D58" s="19">
        <f>IFERROR(SUMIFS(DIARIO!$D$2:$D$123,DIARIO!$B$2:$B$123,"MIXTO",DIARIO!$C$2:$C$123,$A58)/B58,0)</f>
        <v/>
      </c>
      <c r="E58" s="37">
        <f>SUMIFS(DIARIO!$G$2:$G$123,DIARIO!$B$2:$B$123,"MIXTO",DIARIO!$C$2:$C$123,$A58)</f>
        <v/>
      </c>
      <c r="F58" s="37">
        <f>E58*PARAMETROS!$B$7</f>
        <v/>
      </c>
      <c r="G58" s="19">
        <f>IFERROR(SUMIFS(DIARIO!$D$2:$D$123,DIARIO!$B$2:$B$123,"MIXTO",DIARIO!$C$2:$C$123,$A58)/E58,0)</f>
        <v/>
      </c>
      <c r="H58" s="37">
        <f>SUMIFS(DIARIO!$H$2:$H$123,DIARIO!$B$2:$B$123,"MIXTO",DIARIO!$C$2:$C$123,$A58)</f>
        <v/>
      </c>
      <c r="I58" s="37">
        <f>H58*PARAMETROS!$B$7</f>
        <v/>
      </c>
      <c r="J58" s="19">
        <f>IFERROR(SUMIFS(DIARIO!$D$2:$D$123,DIARIO!$B$2:$B$123,"MIXTO",DIARIO!$C$2:$C$123,$A58)/H58,0)</f>
        <v/>
      </c>
    </row>
    <row r="59">
      <c r="A59" s="35" t="inlineStr">
        <is>
          <t>Search Mixto</t>
        </is>
      </c>
      <c r="B59" s="37">
        <f>SUMIFS(DIARIO!$F$2:$F$123,DIARIO!$B$2:$B$123,"MIXTO",DIARIO!$C$2:$C$123,$A59)</f>
        <v/>
      </c>
      <c r="C59" s="37">
        <f>B59*PARAMETROS!$B$7</f>
        <v/>
      </c>
      <c r="D59" s="19">
        <f>IFERROR(SUMIFS(DIARIO!$D$2:$D$123,DIARIO!$B$2:$B$123,"MIXTO",DIARIO!$C$2:$C$123,$A59)/B59,0)</f>
        <v/>
      </c>
      <c r="E59" s="37">
        <f>SUMIFS(DIARIO!$G$2:$G$123,DIARIO!$B$2:$B$123,"MIXTO",DIARIO!$C$2:$C$123,$A59)</f>
        <v/>
      </c>
      <c r="F59" s="37">
        <f>E59*PARAMETROS!$B$7</f>
        <v/>
      </c>
      <c r="G59" s="19">
        <f>IFERROR(SUMIFS(DIARIO!$D$2:$D$123,DIARIO!$B$2:$B$123,"MIXTO",DIARIO!$C$2:$C$123,$A59)/E59,0)</f>
        <v/>
      </c>
      <c r="H59" s="37">
        <f>SUMIFS(DIARIO!$H$2:$H$123,DIARIO!$B$2:$B$123,"MIXTO",DIARIO!$C$2:$C$123,$A59)</f>
        <v/>
      </c>
      <c r="I59" s="37">
        <f>H59*PARAMETROS!$B$7</f>
        <v/>
      </c>
      <c r="J59" s="19">
        <f>IFERROR(SUMIFS(DIARIO!$D$2:$D$123,DIARIO!$B$2:$B$123,"MIXTO",DIARIO!$C$2:$C$123,$A59)/H59,0)</f>
        <v/>
      </c>
    </row>
    <row r="60">
      <c r="A60" s="22" t="inlineStr">
        <is>
          <t>Total</t>
        </is>
      </c>
      <c r="B60" s="38">
        <f>SUM(B57:B59)</f>
        <v/>
      </c>
      <c r="C60" s="38">
        <f>SUM(C57:C59)</f>
        <v/>
      </c>
      <c r="D60" s="23">
        <f>IFERROR(SUMIFS(DIARIO!$D$2:$D$123,DIARIO!$B$2:$B$123,"MIXTO")/B60,0)</f>
        <v/>
      </c>
      <c r="E60" s="38">
        <f>SUM(E57:E59)</f>
        <v/>
      </c>
      <c r="F60" s="38">
        <f>SUM(F57:F59)</f>
        <v/>
      </c>
      <c r="G60" s="23">
        <f>IFERROR(SUMIFS(DIARIO!$D$2:$D$123,DIARIO!$B$2:$B$123,"MIXTO")/E60,0)</f>
        <v/>
      </c>
      <c r="H60" s="38">
        <f>SUM(H57:H59)</f>
        <v/>
      </c>
      <c r="I60" s="38">
        <f>SUM(I57:I59)</f>
        <v/>
      </c>
      <c r="J60" s="23">
        <f>IFERROR(SUMIFS(DIARIO!$D$2:$D$123,DIARIO!$B$2:$B$123,"MIXTO")/H60,0)</f>
        <v/>
      </c>
    </row>
    <row r="62">
      <c r="A62" s="32" t="inlineStr">
        <is>
          <t>RESUMEN DEL MES (Movil + Fijo)</t>
        </is>
      </c>
    </row>
    <row r="63">
      <c r="A63" s="34" t="inlineStr">
        <is>
          <t>Indicador</t>
        </is>
      </c>
      <c r="B63" s="34" t="inlineStr">
        <is>
          <t>Meta mes</t>
        </is>
      </c>
      <c r="C63" s="34" t="inlineStr">
        <is>
          <t>Real / Proyectado</t>
        </is>
      </c>
      <c r="D63" s="34" t="inlineStr">
        <is>
          <t>%</t>
        </is>
      </c>
    </row>
    <row r="64">
      <c r="A64" s="35" t="inlineStr">
        <is>
          <t>Costo (real a hoy)</t>
        </is>
      </c>
      <c r="B64" s="19">
        <f>CURVA!B33</f>
        <v/>
      </c>
      <c r="C64" s="19">
        <f>CURVA!C33</f>
        <v/>
      </c>
      <c r="D64" s="20">
        <f>IFERROR(C64/B64,0)</f>
        <v/>
      </c>
    </row>
    <row r="65">
      <c r="A65" s="35" t="inlineStr">
        <is>
          <t>Costo (proyectado a cierre)</t>
        </is>
      </c>
      <c r="B65" s="19">
        <f>CURVA!B34</f>
        <v/>
      </c>
      <c r="C65" s="19">
        <f>CURVA!C34</f>
        <v/>
      </c>
      <c r="D65" s="20">
        <f>IFERROR(C65/B65,0)</f>
        <v/>
      </c>
    </row>
    <row r="66">
      <c r="A66" s="35" t="inlineStr">
        <is>
          <t>Leads (real a hoy)</t>
        </is>
      </c>
      <c r="B66" s="21">
        <f>CURVA!E33</f>
        <v/>
      </c>
      <c r="C66" s="21">
        <f>CURVA!F33</f>
        <v/>
      </c>
      <c r="D66" s="20">
        <f>IFERROR(C66/B66,0)</f>
        <v/>
      </c>
    </row>
    <row r="67">
      <c r="A67" s="35" t="inlineStr">
        <is>
          <t>Leads (proyectado a cierre)</t>
        </is>
      </c>
      <c r="B67" s="21">
        <f>CURVA!E34</f>
        <v/>
      </c>
      <c r="C67" s="21">
        <f>CURVA!F34</f>
        <v/>
      </c>
      <c r="D67" s="20">
        <f>IFERROR(C67/B67,0)</f>
        <v/>
      </c>
    </row>
    <row r="68">
      <c r="A68" s="35" t="inlineStr">
        <is>
          <t>CPL (real a hoy)</t>
        </is>
      </c>
      <c r="B68" s="19">
        <f>IFERROR(CURVA!B33/CURVA!E33,0)</f>
        <v/>
      </c>
      <c r="C68" s="19">
        <f>CURVA!G33</f>
        <v/>
      </c>
      <c r="D68" s="20">
        <f>IFERROR(C68/B68,0)</f>
        <v/>
      </c>
    </row>
    <row r="69">
      <c r="A69" s="35" t="inlineStr">
        <is>
          <t>CPL (proyectado a cierre)</t>
        </is>
      </c>
      <c r="B69" s="19">
        <f>IFERROR(CURVA!B34/CURVA!E34,0)</f>
        <v/>
      </c>
      <c r="C69" s="19">
        <f>CURVA!G34</f>
        <v/>
      </c>
      <c r="D69" s="20">
        <f>IFERROR(C69/B69,0)</f>
        <v/>
      </c>
    </row>
  </sheetData>
  <mergeCells count="14">
    <mergeCell ref="O26:R26"/>
    <mergeCell ref="A37:J37"/>
    <mergeCell ref="O4:R4"/>
    <mergeCell ref="H4:M4"/>
    <mergeCell ref="O48:R48"/>
    <mergeCell ref="A62:D62"/>
    <mergeCell ref="A55:J55"/>
    <mergeCell ref="A15:J15"/>
    <mergeCell ref="A1:R1"/>
    <mergeCell ref="A4:F4"/>
    <mergeCell ref="A48:F48"/>
    <mergeCell ref="A26:F26"/>
    <mergeCell ref="H26:M26"/>
    <mergeCell ref="H48:M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9" t="inlineStr">
        <is>
          <t>AVANCE DIARIO 2026-09  ·  Movil + Fijo + Mixto</t>
        </is>
      </c>
    </row>
    <row r="2">
      <c r="A2" s="34" t="inlineStr">
        <is>
          <t>Fecha</t>
        </is>
      </c>
      <c r="B2" s="34" t="inlineStr">
        <is>
          <t>Meta Costo</t>
        </is>
      </c>
      <c r="C2" s="34" t="inlineStr">
        <is>
          <t>Costo</t>
        </is>
      </c>
      <c r="D2" s="34" t="inlineStr">
        <is>
          <t>% Costo</t>
        </is>
      </c>
      <c r="E2" s="34" t="inlineStr">
        <is>
          <t>Meta Lead</t>
        </is>
      </c>
      <c r="F2" s="34" t="inlineStr">
        <is>
          <t>Lead</t>
        </is>
      </c>
      <c r="G2" s="34" t="inlineStr">
        <is>
          <t>CPL</t>
        </is>
      </c>
      <c r="H2" s="34" t="inlineStr">
        <is>
          <t>Q Neto</t>
        </is>
      </c>
      <c r="I2" s="34" t="inlineStr">
        <is>
          <t>CPL Neto</t>
        </is>
      </c>
      <c r="J2" s="34" t="inlineStr">
        <is>
          <t>Q Emi</t>
        </is>
      </c>
      <c r="K2" s="34" t="inlineStr">
        <is>
          <t>CPE</t>
        </is>
      </c>
      <c r="L2" s="34" t="inlineStr">
        <is>
          <t>Q Ter</t>
        </is>
      </c>
      <c r="M2" s="34" t="inlineStr">
        <is>
          <t>CPA</t>
        </is>
      </c>
      <c r="N2" s="34" t="inlineStr">
        <is>
          <t>Costo acum</t>
        </is>
      </c>
      <c r="O2" s="34" t="inlineStr">
        <is>
          <t>Meta acum</t>
        </is>
      </c>
      <c r="P2" s="34" t="inlineStr">
        <is>
          <t>% acum</t>
        </is>
      </c>
    </row>
    <row r="3">
      <c r="A3" s="40" t="n">
        <v>46266</v>
      </c>
      <c r="B3" s="19">
        <f>(SUMIFS(METAS_DIA!$D$2:$D$361,METAS_DIA!$A$2:$A$361,$A3,METAS_DIA!$B$2:$B$361,"MOVIL")+SUMIFS(METAS_DIA!$D$2:$D$361,METAS_DIA!$A$2:$A$361,$A3,METAS_DIA!$B$2:$B$361,"FIJO")+SUMIFS(METAS_DIA!$D$2:$D$361,METAS_DIA!$A$2:$A$361,$A3,METAS_DIA!$B$2:$B$361,"MIXTO"))</f>
        <v/>
      </c>
      <c r="C3" s="19">
        <f>(SUMIFS(DIARIO!$D$2:$D$123,DIARIO!$A$2:$A$123,$A3,DIARIO!$B$2:$B$123,"MOVIL")+SUMIFS(DIARIO!$D$2:$D$123,DIARIO!$A$2:$A$123,$A3,DIARIO!$B$2:$B$123,"FIJO")+SUMIFS(DIARIO!$D$2:$D$123,DIARIO!$A$2:$A$123,$A3,DIARIO!$B$2:$B$123,"MIXTO"))</f>
        <v/>
      </c>
      <c r="D3" s="20">
        <f>IFERROR(C3/B3,0)</f>
        <v/>
      </c>
      <c r="E3" s="21">
        <f>(SUMIFS(METAS_DIA!$E$2:$E$361,METAS_DIA!$A$2:$A$361,$A3,METAS_DIA!$B$2:$B$361,"MOVIL")+SUMIFS(METAS_DIA!$E$2:$E$361,METAS_DIA!$A$2:$A$361,$A3,METAS_DIA!$B$2:$B$361,"FIJO")+SUMIFS(METAS_DIA!$E$2:$E$361,METAS_DIA!$A$2:$A$361,$A3,METAS_DIA!$B$2:$B$361,"MIXTO"))</f>
        <v/>
      </c>
      <c r="F3" s="21">
        <f>(SUMIFS(DIARIO!$E$2:$E$123,DIARIO!$A$2:$A$123,$A3,DIARIO!$B$2:$B$123,"MOVIL")+SUMIFS(DIARIO!$E$2:$E$123,DIARIO!$A$2:$A$123,$A3,DIARIO!$B$2:$B$123,"FIJO")+SUMIFS(DIARIO!$E$2:$E$123,DIARIO!$A$2:$A$123,$A3,DIARIO!$B$2:$B$123,"MIXTO"))</f>
        <v/>
      </c>
      <c r="G3" s="19">
        <f>IFERROR(C3/F3,0)</f>
        <v/>
      </c>
      <c r="H3" s="37">
        <f>(SUMIFS(DIARIO!$F$2:$F$123,DIARIO!$A$2:$A$123,$A3,DIARIO!$B$2:$B$123,"MOVIL")+SUMIFS(DIARIO!$F$2:$F$123,DIARIO!$A$2:$A$123,$A3,DIARIO!$B$2:$B$123,"FIJO")+SUMIFS(DIARIO!$F$2:$F$123,DIARIO!$A$2:$A$123,$A3,DIARIO!$B$2:$B$123,"MIXTO"))</f>
        <v/>
      </c>
      <c r="I3" s="19">
        <f>IFERROR($C3/H3,0)</f>
        <v/>
      </c>
      <c r="J3" s="37">
        <f>(SUMIFS(DIARIO!$G$2:$G$123,DIARIO!$A$2:$A$123,$A3,DIARIO!$B$2:$B$123,"MOVIL")+SUMIFS(DIARIO!$G$2:$G$123,DIARIO!$A$2:$A$123,$A3,DIARIO!$B$2:$B$123,"FIJO")+SUMIFS(DIARIO!$G$2:$G$123,DIARIO!$A$2:$A$123,$A3,DIARIO!$B$2:$B$123,"MIXTO"))</f>
        <v/>
      </c>
      <c r="K3" s="19">
        <f>IFERROR($C3/J3,0)</f>
        <v/>
      </c>
      <c r="L3" s="37">
        <f>(SUMIFS(DIARIO!$H$2:$H$123,DIARIO!$A$2:$A$123,$A3,DIARIO!$B$2:$B$123,"MOVIL")+SUMIFS(DIARIO!$H$2:$H$123,DIARIO!$A$2:$A$123,$A3,DIARIO!$B$2:$B$123,"FIJO")+SUMIFS(DIARIO!$H$2:$H$123,DIARIO!$A$2:$A$123,$A3,DIARIO!$B$2:$B$123,"MIXTO"))</f>
        <v/>
      </c>
      <c r="M3" s="19">
        <f>IFERROR($C3/L3,0)</f>
        <v/>
      </c>
      <c r="N3" s="19">
        <f>SUM($C$3:C3)</f>
        <v/>
      </c>
      <c r="O3" s="19">
        <f>SUM($B$3:B3)</f>
        <v/>
      </c>
      <c r="P3" s="20">
        <f>IFERROR(N3/O3,0)</f>
        <v/>
      </c>
    </row>
    <row r="4">
      <c r="A4" s="40" t="n">
        <v>46267</v>
      </c>
      <c r="B4" s="19">
        <f>(SUMIFS(METAS_DIA!$D$2:$D$361,METAS_DIA!$A$2:$A$361,$A4,METAS_DIA!$B$2:$B$361,"MOVIL")+SUMIFS(METAS_DIA!$D$2:$D$361,METAS_DIA!$A$2:$A$361,$A4,METAS_DIA!$B$2:$B$361,"FIJO")+SUMIFS(METAS_DIA!$D$2:$D$361,METAS_DIA!$A$2:$A$361,$A4,METAS_DIA!$B$2:$B$361,"MIXTO"))</f>
        <v/>
      </c>
      <c r="C4" s="19">
        <f>(SUMIFS(DIARIO!$D$2:$D$123,DIARIO!$A$2:$A$123,$A4,DIARIO!$B$2:$B$123,"MOVIL")+SUMIFS(DIARIO!$D$2:$D$123,DIARIO!$A$2:$A$123,$A4,DIARIO!$B$2:$B$123,"FIJO")+SUMIFS(DIARIO!$D$2:$D$123,DIARIO!$A$2:$A$123,$A4,DIARIO!$B$2:$B$123,"MIXTO"))</f>
        <v/>
      </c>
      <c r="D4" s="20">
        <f>IFERROR(C4/B4,0)</f>
        <v/>
      </c>
      <c r="E4" s="21">
        <f>(SUMIFS(METAS_DIA!$E$2:$E$361,METAS_DIA!$A$2:$A$361,$A4,METAS_DIA!$B$2:$B$361,"MOVIL")+SUMIFS(METAS_DIA!$E$2:$E$361,METAS_DIA!$A$2:$A$361,$A4,METAS_DIA!$B$2:$B$361,"FIJO")+SUMIFS(METAS_DIA!$E$2:$E$361,METAS_DIA!$A$2:$A$361,$A4,METAS_DIA!$B$2:$B$361,"MIXTO"))</f>
        <v/>
      </c>
      <c r="F4" s="21">
        <f>(SUMIFS(DIARIO!$E$2:$E$123,DIARIO!$A$2:$A$123,$A4,DIARIO!$B$2:$B$123,"MOVIL")+SUMIFS(DIARIO!$E$2:$E$123,DIARIO!$A$2:$A$123,$A4,DIARIO!$B$2:$B$123,"FIJO")+SUMIFS(DIARIO!$E$2:$E$123,DIARIO!$A$2:$A$123,$A4,DIARIO!$B$2:$B$123,"MIXTO"))</f>
        <v/>
      </c>
      <c r="G4" s="19">
        <f>IFERROR(C4/F4,0)</f>
        <v/>
      </c>
      <c r="H4" s="37">
        <f>(SUMIFS(DIARIO!$F$2:$F$123,DIARIO!$A$2:$A$123,$A4,DIARIO!$B$2:$B$123,"MOVIL")+SUMIFS(DIARIO!$F$2:$F$123,DIARIO!$A$2:$A$123,$A4,DIARIO!$B$2:$B$123,"FIJO")+SUMIFS(DIARIO!$F$2:$F$123,DIARIO!$A$2:$A$123,$A4,DIARIO!$B$2:$B$123,"MIXTO"))</f>
        <v/>
      </c>
      <c r="I4" s="19">
        <f>IFERROR($C4/H4,0)</f>
        <v/>
      </c>
      <c r="J4" s="37">
        <f>(SUMIFS(DIARIO!$G$2:$G$123,DIARIO!$A$2:$A$123,$A4,DIARIO!$B$2:$B$123,"MOVIL")+SUMIFS(DIARIO!$G$2:$G$123,DIARIO!$A$2:$A$123,$A4,DIARIO!$B$2:$B$123,"FIJO")+SUMIFS(DIARIO!$G$2:$G$123,DIARIO!$A$2:$A$123,$A4,DIARIO!$B$2:$B$123,"MIXTO"))</f>
        <v/>
      </c>
      <c r="K4" s="19">
        <f>IFERROR($C4/J4,0)</f>
        <v/>
      </c>
      <c r="L4" s="37">
        <f>(SUMIFS(DIARIO!$H$2:$H$123,DIARIO!$A$2:$A$123,$A4,DIARIO!$B$2:$B$123,"MOVIL")+SUMIFS(DIARIO!$H$2:$H$123,DIARIO!$A$2:$A$123,$A4,DIARIO!$B$2:$B$123,"FIJO")+SUMIFS(DIARIO!$H$2:$H$123,DIARIO!$A$2:$A$123,$A4,DIARIO!$B$2:$B$123,"MIXTO"))</f>
        <v/>
      </c>
      <c r="M4" s="19">
        <f>IFERROR($C4/L4,0)</f>
        <v/>
      </c>
      <c r="N4" s="19">
        <f>SUM($C$3:C4)</f>
        <v/>
      </c>
      <c r="O4" s="19">
        <f>SUM($B$3:B4)</f>
        <v/>
      </c>
      <c r="P4" s="20">
        <f>IFERROR(N4/O4,0)</f>
        <v/>
      </c>
    </row>
    <row r="5">
      <c r="A5" s="40" t="n">
        <v>46268</v>
      </c>
      <c r="B5" s="19">
        <f>(SUMIFS(METAS_DIA!$D$2:$D$361,METAS_DIA!$A$2:$A$361,$A5,METAS_DIA!$B$2:$B$361,"MOVIL")+SUMIFS(METAS_DIA!$D$2:$D$361,METAS_DIA!$A$2:$A$361,$A5,METAS_DIA!$B$2:$B$361,"FIJO")+SUMIFS(METAS_DIA!$D$2:$D$361,METAS_DIA!$A$2:$A$361,$A5,METAS_DIA!$B$2:$B$361,"MIXTO"))</f>
        <v/>
      </c>
      <c r="C5" s="19">
        <f>(SUMIFS(DIARIO!$D$2:$D$123,DIARIO!$A$2:$A$123,$A5,DIARIO!$B$2:$B$123,"MOVIL")+SUMIFS(DIARIO!$D$2:$D$123,DIARIO!$A$2:$A$123,$A5,DIARIO!$B$2:$B$123,"FIJO")+SUMIFS(DIARIO!$D$2:$D$123,DIARIO!$A$2:$A$123,$A5,DIARIO!$B$2:$B$123,"MIXTO"))</f>
        <v/>
      </c>
      <c r="D5" s="20">
        <f>IFERROR(C5/B5,0)</f>
        <v/>
      </c>
      <c r="E5" s="21">
        <f>(SUMIFS(METAS_DIA!$E$2:$E$361,METAS_DIA!$A$2:$A$361,$A5,METAS_DIA!$B$2:$B$361,"MOVIL")+SUMIFS(METAS_DIA!$E$2:$E$361,METAS_DIA!$A$2:$A$361,$A5,METAS_DIA!$B$2:$B$361,"FIJO")+SUMIFS(METAS_DIA!$E$2:$E$361,METAS_DIA!$A$2:$A$361,$A5,METAS_DIA!$B$2:$B$361,"MIXTO"))</f>
        <v/>
      </c>
      <c r="F5" s="21">
        <f>(SUMIFS(DIARIO!$E$2:$E$123,DIARIO!$A$2:$A$123,$A5,DIARIO!$B$2:$B$123,"MOVIL")+SUMIFS(DIARIO!$E$2:$E$123,DIARIO!$A$2:$A$123,$A5,DIARIO!$B$2:$B$123,"FIJO")+SUMIFS(DIARIO!$E$2:$E$123,DIARIO!$A$2:$A$123,$A5,DIARIO!$B$2:$B$123,"MIXTO"))</f>
        <v/>
      </c>
      <c r="G5" s="19">
        <f>IFERROR(C5/F5,0)</f>
        <v/>
      </c>
      <c r="H5" s="37">
        <f>(SUMIFS(DIARIO!$F$2:$F$123,DIARIO!$A$2:$A$123,$A5,DIARIO!$B$2:$B$123,"MOVIL")+SUMIFS(DIARIO!$F$2:$F$123,DIARIO!$A$2:$A$123,$A5,DIARIO!$B$2:$B$123,"FIJO")+SUMIFS(DIARIO!$F$2:$F$123,DIARIO!$A$2:$A$123,$A5,DIARIO!$B$2:$B$123,"MIXTO"))</f>
        <v/>
      </c>
      <c r="I5" s="19">
        <f>IFERROR($C5/H5,0)</f>
        <v/>
      </c>
      <c r="J5" s="37">
        <f>(SUMIFS(DIARIO!$G$2:$G$123,DIARIO!$A$2:$A$123,$A5,DIARIO!$B$2:$B$123,"MOVIL")+SUMIFS(DIARIO!$G$2:$G$123,DIARIO!$A$2:$A$123,$A5,DIARIO!$B$2:$B$123,"FIJO")+SUMIFS(DIARIO!$G$2:$G$123,DIARIO!$A$2:$A$123,$A5,DIARIO!$B$2:$B$123,"MIXTO"))</f>
        <v/>
      </c>
      <c r="K5" s="19">
        <f>IFERROR($C5/J5,0)</f>
        <v/>
      </c>
      <c r="L5" s="37">
        <f>(SUMIFS(DIARIO!$H$2:$H$123,DIARIO!$A$2:$A$123,$A5,DIARIO!$B$2:$B$123,"MOVIL")+SUMIFS(DIARIO!$H$2:$H$123,DIARIO!$A$2:$A$123,$A5,DIARIO!$B$2:$B$123,"FIJO")+SUMIFS(DIARIO!$H$2:$H$123,DIARIO!$A$2:$A$123,$A5,DIARIO!$B$2:$B$123,"MIXTO"))</f>
        <v/>
      </c>
      <c r="M5" s="19">
        <f>IFERROR($C5/L5,0)</f>
        <v/>
      </c>
      <c r="N5" s="19">
        <f>SUM($C$3:C5)</f>
        <v/>
      </c>
      <c r="O5" s="19">
        <f>SUM($B$3:B5)</f>
        <v/>
      </c>
      <c r="P5" s="20">
        <f>IFERROR(N5/O5,0)</f>
        <v/>
      </c>
    </row>
    <row r="6">
      <c r="A6" s="40" t="n">
        <v>46269</v>
      </c>
      <c r="B6" s="19">
        <f>(SUMIFS(METAS_DIA!$D$2:$D$361,METAS_DIA!$A$2:$A$361,$A6,METAS_DIA!$B$2:$B$361,"MOVIL")+SUMIFS(METAS_DIA!$D$2:$D$361,METAS_DIA!$A$2:$A$361,$A6,METAS_DIA!$B$2:$B$361,"FIJO")+SUMIFS(METAS_DIA!$D$2:$D$361,METAS_DIA!$A$2:$A$361,$A6,METAS_DIA!$B$2:$B$361,"MIXTO"))</f>
        <v/>
      </c>
      <c r="C6" s="19">
        <f>(SUMIFS(DIARIO!$D$2:$D$123,DIARIO!$A$2:$A$123,$A6,DIARIO!$B$2:$B$123,"MOVIL")+SUMIFS(DIARIO!$D$2:$D$123,DIARIO!$A$2:$A$123,$A6,DIARIO!$B$2:$B$123,"FIJO")+SUMIFS(DIARIO!$D$2:$D$123,DIARIO!$A$2:$A$123,$A6,DIARIO!$B$2:$B$123,"MIXTO"))</f>
        <v/>
      </c>
      <c r="D6" s="20">
        <f>IFERROR(C6/B6,0)</f>
        <v/>
      </c>
      <c r="E6" s="21">
        <f>(SUMIFS(METAS_DIA!$E$2:$E$361,METAS_DIA!$A$2:$A$361,$A6,METAS_DIA!$B$2:$B$361,"MOVIL")+SUMIFS(METAS_DIA!$E$2:$E$361,METAS_DIA!$A$2:$A$361,$A6,METAS_DIA!$B$2:$B$361,"FIJO")+SUMIFS(METAS_DIA!$E$2:$E$361,METAS_DIA!$A$2:$A$361,$A6,METAS_DIA!$B$2:$B$361,"MIXTO"))</f>
        <v/>
      </c>
      <c r="F6" s="21">
        <f>(SUMIFS(DIARIO!$E$2:$E$123,DIARIO!$A$2:$A$123,$A6,DIARIO!$B$2:$B$123,"MOVIL")+SUMIFS(DIARIO!$E$2:$E$123,DIARIO!$A$2:$A$123,$A6,DIARIO!$B$2:$B$123,"FIJO")+SUMIFS(DIARIO!$E$2:$E$123,DIARIO!$A$2:$A$123,$A6,DIARIO!$B$2:$B$123,"MIXTO"))</f>
        <v/>
      </c>
      <c r="G6" s="19">
        <f>IFERROR(C6/F6,0)</f>
        <v/>
      </c>
      <c r="H6" s="37">
        <f>(SUMIFS(DIARIO!$F$2:$F$123,DIARIO!$A$2:$A$123,$A6,DIARIO!$B$2:$B$123,"MOVIL")+SUMIFS(DIARIO!$F$2:$F$123,DIARIO!$A$2:$A$123,$A6,DIARIO!$B$2:$B$123,"FIJO")+SUMIFS(DIARIO!$F$2:$F$123,DIARIO!$A$2:$A$123,$A6,DIARIO!$B$2:$B$123,"MIXTO"))</f>
        <v/>
      </c>
      <c r="I6" s="19">
        <f>IFERROR($C6/H6,0)</f>
        <v/>
      </c>
      <c r="J6" s="37">
        <f>(SUMIFS(DIARIO!$G$2:$G$123,DIARIO!$A$2:$A$123,$A6,DIARIO!$B$2:$B$123,"MOVIL")+SUMIFS(DIARIO!$G$2:$G$123,DIARIO!$A$2:$A$123,$A6,DIARIO!$B$2:$B$123,"FIJO")+SUMIFS(DIARIO!$G$2:$G$123,DIARIO!$A$2:$A$123,$A6,DIARIO!$B$2:$B$123,"MIXTO"))</f>
        <v/>
      </c>
      <c r="K6" s="19">
        <f>IFERROR($C6/J6,0)</f>
        <v/>
      </c>
      <c r="L6" s="37">
        <f>(SUMIFS(DIARIO!$H$2:$H$123,DIARIO!$A$2:$A$123,$A6,DIARIO!$B$2:$B$123,"MOVIL")+SUMIFS(DIARIO!$H$2:$H$123,DIARIO!$A$2:$A$123,$A6,DIARIO!$B$2:$B$123,"FIJO")+SUMIFS(DIARIO!$H$2:$H$123,DIARIO!$A$2:$A$123,$A6,DIARIO!$B$2:$B$123,"MIXTO"))</f>
        <v/>
      </c>
      <c r="M6" s="19">
        <f>IFERROR($C6/L6,0)</f>
        <v/>
      </c>
      <c r="N6" s="19">
        <f>SUM($C$3:C6)</f>
        <v/>
      </c>
      <c r="O6" s="19">
        <f>SUM($B$3:B6)</f>
        <v/>
      </c>
      <c r="P6" s="20">
        <f>IFERROR(N6/O6,0)</f>
        <v/>
      </c>
    </row>
    <row r="7">
      <c r="A7" s="40" t="n">
        <v>46270</v>
      </c>
      <c r="B7" s="19">
        <f>(SUMIFS(METAS_DIA!$D$2:$D$361,METAS_DIA!$A$2:$A$361,$A7,METAS_DIA!$B$2:$B$361,"MOVIL")+SUMIFS(METAS_DIA!$D$2:$D$361,METAS_DIA!$A$2:$A$361,$A7,METAS_DIA!$B$2:$B$361,"FIJO")+SUMIFS(METAS_DIA!$D$2:$D$361,METAS_DIA!$A$2:$A$361,$A7,METAS_DIA!$B$2:$B$361,"MIXTO"))</f>
        <v/>
      </c>
      <c r="C7" s="19">
        <f>(SUMIFS(DIARIO!$D$2:$D$123,DIARIO!$A$2:$A$123,$A7,DIARIO!$B$2:$B$123,"MOVIL")+SUMIFS(DIARIO!$D$2:$D$123,DIARIO!$A$2:$A$123,$A7,DIARIO!$B$2:$B$123,"FIJO")+SUMIFS(DIARIO!$D$2:$D$123,DIARIO!$A$2:$A$123,$A7,DIARIO!$B$2:$B$123,"MIXTO"))</f>
        <v/>
      </c>
      <c r="D7" s="20">
        <f>IFERROR(C7/B7,0)</f>
        <v/>
      </c>
      <c r="E7" s="21">
        <f>(SUMIFS(METAS_DIA!$E$2:$E$361,METAS_DIA!$A$2:$A$361,$A7,METAS_DIA!$B$2:$B$361,"MOVIL")+SUMIFS(METAS_DIA!$E$2:$E$361,METAS_DIA!$A$2:$A$361,$A7,METAS_DIA!$B$2:$B$361,"FIJO")+SUMIFS(METAS_DIA!$E$2:$E$361,METAS_DIA!$A$2:$A$361,$A7,METAS_DIA!$B$2:$B$361,"MIXTO"))</f>
        <v/>
      </c>
      <c r="F7" s="21">
        <f>(SUMIFS(DIARIO!$E$2:$E$123,DIARIO!$A$2:$A$123,$A7,DIARIO!$B$2:$B$123,"MOVIL")+SUMIFS(DIARIO!$E$2:$E$123,DIARIO!$A$2:$A$123,$A7,DIARIO!$B$2:$B$123,"FIJO")+SUMIFS(DIARIO!$E$2:$E$123,DIARIO!$A$2:$A$123,$A7,DIARIO!$B$2:$B$123,"MIXTO"))</f>
        <v/>
      </c>
      <c r="G7" s="19">
        <f>IFERROR(C7/F7,0)</f>
        <v/>
      </c>
      <c r="H7" s="37">
        <f>(SUMIFS(DIARIO!$F$2:$F$123,DIARIO!$A$2:$A$123,$A7,DIARIO!$B$2:$B$123,"MOVIL")+SUMIFS(DIARIO!$F$2:$F$123,DIARIO!$A$2:$A$123,$A7,DIARIO!$B$2:$B$123,"FIJO")+SUMIFS(DIARIO!$F$2:$F$123,DIARIO!$A$2:$A$123,$A7,DIARIO!$B$2:$B$123,"MIXTO"))</f>
        <v/>
      </c>
      <c r="I7" s="19">
        <f>IFERROR($C7/H7,0)</f>
        <v/>
      </c>
      <c r="J7" s="37">
        <f>(SUMIFS(DIARIO!$G$2:$G$123,DIARIO!$A$2:$A$123,$A7,DIARIO!$B$2:$B$123,"MOVIL")+SUMIFS(DIARIO!$G$2:$G$123,DIARIO!$A$2:$A$123,$A7,DIARIO!$B$2:$B$123,"FIJO")+SUMIFS(DIARIO!$G$2:$G$123,DIARIO!$A$2:$A$123,$A7,DIARIO!$B$2:$B$123,"MIXTO"))</f>
        <v/>
      </c>
      <c r="K7" s="19">
        <f>IFERROR($C7/J7,0)</f>
        <v/>
      </c>
      <c r="L7" s="37">
        <f>(SUMIFS(DIARIO!$H$2:$H$123,DIARIO!$A$2:$A$123,$A7,DIARIO!$B$2:$B$123,"MOVIL")+SUMIFS(DIARIO!$H$2:$H$123,DIARIO!$A$2:$A$123,$A7,DIARIO!$B$2:$B$123,"FIJO")+SUMIFS(DIARIO!$H$2:$H$123,DIARIO!$A$2:$A$123,$A7,DIARIO!$B$2:$B$123,"MIXTO"))</f>
        <v/>
      </c>
      <c r="M7" s="19">
        <f>IFERROR($C7/L7,0)</f>
        <v/>
      </c>
      <c r="N7" s="19">
        <f>SUM($C$3:C7)</f>
        <v/>
      </c>
      <c r="O7" s="19">
        <f>SUM($B$3:B7)</f>
        <v/>
      </c>
      <c r="P7" s="20">
        <f>IFERROR(N7/O7,0)</f>
        <v/>
      </c>
    </row>
    <row r="8">
      <c r="A8" s="40" t="n">
        <v>46271</v>
      </c>
      <c r="B8" s="19">
        <f>(SUMIFS(METAS_DIA!$D$2:$D$361,METAS_DIA!$A$2:$A$361,$A8,METAS_DIA!$B$2:$B$361,"MOVIL")+SUMIFS(METAS_DIA!$D$2:$D$361,METAS_DIA!$A$2:$A$361,$A8,METAS_DIA!$B$2:$B$361,"FIJO")+SUMIFS(METAS_DIA!$D$2:$D$361,METAS_DIA!$A$2:$A$361,$A8,METAS_DIA!$B$2:$B$361,"MIXTO"))</f>
        <v/>
      </c>
      <c r="C8" s="19">
        <f>(SUMIFS(DIARIO!$D$2:$D$123,DIARIO!$A$2:$A$123,$A8,DIARIO!$B$2:$B$123,"MOVIL")+SUMIFS(DIARIO!$D$2:$D$123,DIARIO!$A$2:$A$123,$A8,DIARIO!$B$2:$B$123,"FIJO")+SUMIFS(DIARIO!$D$2:$D$123,DIARIO!$A$2:$A$123,$A8,DIARIO!$B$2:$B$123,"MIXTO"))</f>
        <v/>
      </c>
      <c r="D8" s="20">
        <f>IFERROR(C8/B8,0)</f>
        <v/>
      </c>
      <c r="E8" s="21">
        <f>(SUMIFS(METAS_DIA!$E$2:$E$361,METAS_DIA!$A$2:$A$361,$A8,METAS_DIA!$B$2:$B$361,"MOVIL")+SUMIFS(METAS_DIA!$E$2:$E$361,METAS_DIA!$A$2:$A$361,$A8,METAS_DIA!$B$2:$B$361,"FIJO")+SUMIFS(METAS_DIA!$E$2:$E$361,METAS_DIA!$A$2:$A$361,$A8,METAS_DIA!$B$2:$B$361,"MIXTO"))</f>
        <v/>
      </c>
      <c r="F8" s="21">
        <f>(SUMIFS(DIARIO!$E$2:$E$123,DIARIO!$A$2:$A$123,$A8,DIARIO!$B$2:$B$123,"MOVIL")+SUMIFS(DIARIO!$E$2:$E$123,DIARIO!$A$2:$A$123,$A8,DIARIO!$B$2:$B$123,"FIJO")+SUMIFS(DIARIO!$E$2:$E$123,DIARIO!$A$2:$A$123,$A8,DIARIO!$B$2:$B$123,"MIXTO"))</f>
        <v/>
      </c>
      <c r="G8" s="19">
        <f>IFERROR(C8/F8,0)</f>
        <v/>
      </c>
      <c r="H8" s="37">
        <f>(SUMIFS(DIARIO!$F$2:$F$123,DIARIO!$A$2:$A$123,$A8,DIARIO!$B$2:$B$123,"MOVIL")+SUMIFS(DIARIO!$F$2:$F$123,DIARIO!$A$2:$A$123,$A8,DIARIO!$B$2:$B$123,"FIJO")+SUMIFS(DIARIO!$F$2:$F$123,DIARIO!$A$2:$A$123,$A8,DIARIO!$B$2:$B$123,"MIXTO"))</f>
        <v/>
      </c>
      <c r="I8" s="19">
        <f>IFERROR($C8/H8,0)</f>
        <v/>
      </c>
      <c r="J8" s="37">
        <f>(SUMIFS(DIARIO!$G$2:$G$123,DIARIO!$A$2:$A$123,$A8,DIARIO!$B$2:$B$123,"MOVIL")+SUMIFS(DIARIO!$G$2:$G$123,DIARIO!$A$2:$A$123,$A8,DIARIO!$B$2:$B$123,"FIJO")+SUMIFS(DIARIO!$G$2:$G$123,DIARIO!$A$2:$A$123,$A8,DIARIO!$B$2:$B$123,"MIXTO"))</f>
        <v/>
      </c>
      <c r="K8" s="19">
        <f>IFERROR($C8/J8,0)</f>
        <v/>
      </c>
      <c r="L8" s="37">
        <f>(SUMIFS(DIARIO!$H$2:$H$123,DIARIO!$A$2:$A$123,$A8,DIARIO!$B$2:$B$123,"MOVIL")+SUMIFS(DIARIO!$H$2:$H$123,DIARIO!$A$2:$A$123,$A8,DIARIO!$B$2:$B$123,"FIJO")+SUMIFS(DIARIO!$H$2:$H$123,DIARIO!$A$2:$A$123,$A8,DIARIO!$B$2:$B$123,"MIXTO"))</f>
        <v/>
      </c>
      <c r="M8" s="19">
        <f>IFERROR($C8/L8,0)</f>
        <v/>
      </c>
      <c r="N8" s="19">
        <f>SUM($C$3:C8)</f>
        <v/>
      </c>
      <c r="O8" s="19">
        <f>SUM($B$3:B8)</f>
        <v/>
      </c>
      <c r="P8" s="20">
        <f>IFERROR(N8/O8,0)</f>
        <v/>
      </c>
    </row>
    <row r="9">
      <c r="A9" s="40" t="n">
        <v>46272</v>
      </c>
      <c r="B9" s="19">
        <f>(SUMIFS(METAS_DIA!$D$2:$D$361,METAS_DIA!$A$2:$A$361,$A9,METAS_DIA!$B$2:$B$361,"MOVIL")+SUMIFS(METAS_DIA!$D$2:$D$361,METAS_DIA!$A$2:$A$361,$A9,METAS_DIA!$B$2:$B$361,"FIJO")+SUMIFS(METAS_DIA!$D$2:$D$361,METAS_DIA!$A$2:$A$361,$A9,METAS_DIA!$B$2:$B$361,"MIXTO"))</f>
        <v/>
      </c>
      <c r="C9" s="19">
        <f>(SUMIFS(DIARIO!$D$2:$D$123,DIARIO!$A$2:$A$123,$A9,DIARIO!$B$2:$B$123,"MOVIL")+SUMIFS(DIARIO!$D$2:$D$123,DIARIO!$A$2:$A$123,$A9,DIARIO!$B$2:$B$123,"FIJO")+SUMIFS(DIARIO!$D$2:$D$123,DIARIO!$A$2:$A$123,$A9,DIARIO!$B$2:$B$123,"MIXTO"))</f>
        <v/>
      </c>
      <c r="D9" s="20">
        <f>IFERROR(C9/B9,0)</f>
        <v/>
      </c>
      <c r="E9" s="21">
        <f>(SUMIFS(METAS_DIA!$E$2:$E$361,METAS_DIA!$A$2:$A$361,$A9,METAS_DIA!$B$2:$B$361,"MOVIL")+SUMIFS(METAS_DIA!$E$2:$E$361,METAS_DIA!$A$2:$A$361,$A9,METAS_DIA!$B$2:$B$361,"FIJO")+SUMIFS(METAS_DIA!$E$2:$E$361,METAS_DIA!$A$2:$A$361,$A9,METAS_DIA!$B$2:$B$361,"MIXTO"))</f>
        <v/>
      </c>
      <c r="F9" s="21">
        <f>(SUMIFS(DIARIO!$E$2:$E$123,DIARIO!$A$2:$A$123,$A9,DIARIO!$B$2:$B$123,"MOVIL")+SUMIFS(DIARIO!$E$2:$E$123,DIARIO!$A$2:$A$123,$A9,DIARIO!$B$2:$B$123,"FIJO")+SUMIFS(DIARIO!$E$2:$E$123,DIARIO!$A$2:$A$123,$A9,DIARIO!$B$2:$B$123,"MIXTO"))</f>
        <v/>
      </c>
      <c r="G9" s="19">
        <f>IFERROR(C9/F9,0)</f>
        <v/>
      </c>
      <c r="H9" s="37">
        <f>(SUMIFS(DIARIO!$F$2:$F$123,DIARIO!$A$2:$A$123,$A9,DIARIO!$B$2:$B$123,"MOVIL")+SUMIFS(DIARIO!$F$2:$F$123,DIARIO!$A$2:$A$123,$A9,DIARIO!$B$2:$B$123,"FIJO")+SUMIFS(DIARIO!$F$2:$F$123,DIARIO!$A$2:$A$123,$A9,DIARIO!$B$2:$B$123,"MIXTO"))</f>
        <v/>
      </c>
      <c r="I9" s="19">
        <f>IFERROR($C9/H9,0)</f>
        <v/>
      </c>
      <c r="J9" s="37">
        <f>(SUMIFS(DIARIO!$G$2:$G$123,DIARIO!$A$2:$A$123,$A9,DIARIO!$B$2:$B$123,"MOVIL")+SUMIFS(DIARIO!$G$2:$G$123,DIARIO!$A$2:$A$123,$A9,DIARIO!$B$2:$B$123,"FIJO")+SUMIFS(DIARIO!$G$2:$G$123,DIARIO!$A$2:$A$123,$A9,DIARIO!$B$2:$B$123,"MIXTO"))</f>
        <v/>
      </c>
      <c r="K9" s="19">
        <f>IFERROR($C9/J9,0)</f>
        <v/>
      </c>
      <c r="L9" s="37">
        <f>(SUMIFS(DIARIO!$H$2:$H$123,DIARIO!$A$2:$A$123,$A9,DIARIO!$B$2:$B$123,"MOVIL")+SUMIFS(DIARIO!$H$2:$H$123,DIARIO!$A$2:$A$123,$A9,DIARIO!$B$2:$B$123,"FIJO")+SUMIFS(DIARIO!$H$2:$H$123,DIARIO!$A$2:$A$123,$A9,DIARIO!$B$2:$B$123,"MIXTO"))</f>
        <v/>
      </c>
      <c r="M9" s="19">
        <f>IFERROR($C9/L9,0)</f>
        <v/>
      </c>
      <c r="N9" s="19">
        <f>SUM($C$3:C9)</f>
        <v/>
      </c>
      <c r="O9" s="19">
        <f>SUM($B$3:B9)</f>
        <v/>
      </c>
      <c r="P9" s="20">
        <f>IFERROR(N9/O9,0)</f>
        <v/>
      </c>
    </row>
    <row r="10">
      <c r="A10" s="40" t="n">
        <v>46273</v>
      </c>
      <c r="B10" s="19">
        <f>(SUMIFS(METAS_DIA!$D$2:$D$361,METAS_DIA!$A$2:$A$361,$A10,METAS_DIA!$B$2:$B$361,"MOVIL")+SUMIFS(METAS_DIA!$D$2:$D$361,METAS_DIA!$A$2:$A$361,$A10,METAS_DIA!$B$2:$B$361,"FIJO")+SUMIFS(METAS_DIA!$D$2:$D$361,METAS_DIA!$A$2:$A$361,$A10,METAS_DIA!$B$2:$B$361,"MIXTO"))</f>
        <v/>
      </c>
      <c r="C10" s="19">
        <f>(SUMIFS(DIARIO!$D$2:$D$123,DIARIO!$A$2:$A$123,$A10,DIARIO!$B$2:$B$123,"MOVIL")+SUMIFS(DIARIO!$D$2:$D$123,DIARIO!$A$2:$A$123,$A10,DIARIO!$B$2:$B$123,"FIJO")+SUMIFS(DIARIO!$D$2:$D$123,DIARIO!$A$2:$A$123,$A10,DIARIO!$B$2:$B$123,"MIXTO"))</f>
        <v/>
      </c>
      <c r="D10" s="20">
        <f>IFERROR(C10/B10,0)</f>
        <v/>
      </c>
      <c r="E10" s="21">
        <f>(SUMIFS(METAS_DIA!$E$2:$E$361,METAS_DIA!$A$2:$A$361,$A10,METAS_DIA!$B$2:$B$361,"MOVIL")+SUMIFS(METAS_DIA!$E$2:$E$361,METAS_DIA!$A$2:$A$361,$A10,METAS_DIA!$B$2:$B$361,"FIJO")+SUMIFS(METAS_DIA!$E$2:$E$361,METAS_DIA!$A$2:$A$361,$A10,METAS_DIA!$B$2:$B$361,"MIXTO"))</f>
        <v/>
      </c>
      <c r="F10" s="21">
        <f>(SUMIFS(DIARIO!$E$2:$E$123,DIARIO!$A$2:$A$123,$A10,DIARIO!$B$2:$B$123,"MOVIL")+SUMIFS(DIARIO!$E$2:$E$123,DIARIO!$A$2:$A$123,$A10,DIARIO!$B$2:$B$123,"FIJO")+SUMIFS(DIARIO!$E$2:$E$123,DIARIO!$A$2:$A$123,$A10,DIARIO!$B$2:$B$123,"MIXTO"))</f>
        <v/>
      </c>
      <c r="G10" s="19">
        <f>IFERROR(C10/F10,0)</f>
        <v/>
      </c>
      <c r="H10" s="37">
        <f>(SUMIFS(DIARIO!$F$2:$F$123,DIARIO!$A$2:$A$123,$A10,DIARIO!$B$2:$B$123,"MOVIL")+SUMIFS(DIARIO!$F$2:$F$123,DIARIO!$A$2:$A$123,$A10,DIARIO!$B$2:$B$123,"FIJO")+SUMIFS(DIARIO!$F$2:$F$123,DIARIO!$A$2:$A$123,$A10,DIARIO!$B$2:$B$123,"MIXTO"))</f>
        <v/>
      </c>
      <c r="I10" s="19">
        <f>IFERROR($C10/H10,0)</f>
        <v/>
      </c>
      <c r="J10" s="37">
        <f>(SUMIFS(DIARIO!$G$2:$G$123,DIARIO!$A$2:$A$123,$A10,DIARIO!$B$2:$B$123,"MOVIL")+SUMIFS(DIARIO!$G$2:$G$123,DIARIO!$A$2:$A$123,$A10,DIARIO!$B$2:$B$123,"FIJO")+SUMIFS(DIARIO!$G$2:$G$123,DIARIO!$A$2:$A$123,$A10,DIARIO!$B$2:$B$123,"MIXTO"))</f>
        <v/>
      </c>
      <c r="K10" s="19">
        <f>IFERROR($C10/J10,0)</f>
        <v/>
      </c>
      <c r="L10" s="37">
        <f>(SUMIFS(DIARIO!$H$2:$H$123,DIARIO!$A$2:$A$123,$A10,DIARIO!$B$2:$B$123,"MOVIL")+SUMIFS(DIARIO!$H$2:$H$123,DIARIO!$A$2:$A$123,$A10,DIARIO!$B$2:$B$123,"FIJO")+SUMIFS(DIARIO!$H$2:$H$123,DIARIO!$A$2:$A$123,$A10,DIARIO!$B$2:$B$123,"MIXTO"))</f>
        <v/>
      </c>
      <c r="M10" s="19">
        <f>IFERROR($C10/L10,0)</f>
        <v/>
      </c>
      <c r="N10" s="19">
        <f>SUM($C$3:C10)</f>
        <v/>
      </c>
      <c r="O10" s="19">
        <f>SUM($B$3:B10)</f>
        <v/>
      </c>
      <c r="P10" s="20">
        <f>IFERROR(N10/O10,0)</f>
        <v/>
      </c>
    </row>
    <row r="11">
      <c r="A11" s="40" t="n">
        <v>46274</v>
      </c>
      <c r="B11" s="19">
        <f>(SUMIFS(METAS_DIA!$D$2:$D$361,METAS_DIA!$A$2:$A$361,$A11,METAS_DIA!$B$2:$B$361,"MOVIL")+SUMIFS(METAS_DIA!$D$2:$D$361,METAS_DIA!$A$2:$A$361,$A11,METAS_DIA!$B$2:$B$361,"FIJO")+SUMIFS(METAS_DIA!$D$2:$D$361,METAS_DIA!$A$2:$A$361,$A11,METAS_DIA!$B$2:$B$361,"MIXTO"))</f>
        <v/>
      </c>
      <c r="C11" s="19">
        <f>(SUMIFS(DIARIO!$D$2:$D$123,DIARIO!$A$2:$A$123,$A11,DIARIO!$B$2:$B$123,"MOVIL")+SUMIFS(DIARIO!$D$2:$D$123,DIARIO!$A$2:$A$123,$A11,DIARIO!$B$2:$B$123,"FIJO")+SUMIFS(DIARIO!$D$2:$D$123,DIARIO!$A$2:$A$123,$A11,DIARIO!$B$2:$B$123,"MIXTO"))</f>
        <v/>
      </c>
      <c r="D11" s="20">
        <f>IFERROR(C11/B11,0)</f>
        <v/>
      </c>
      <c r="E11" s="21">
        <f>(SUMIFS(METAS_DIA!$E$2:$E$361,METAS_DIA!$A$2:$A$361,$A11,METAS_DIA!$B$2:$B$361,"MOVIL")+SUMIFS(METAS_DIA!$E$2:$E$361,METAS_DIA!$A$2:$A$361,$A11,METAS_DIA!$B$2:$B$361,"FIJO")+SUMIFS(METAS_DIA!$E$2:$E$361,METAS_DIA!$A$2:$A$361,$A11,METAS_DIA!$B$2:$B$361,"MIXTO"))</f>
        <v/>
      </c>
      <c r="F11" s="21">
        <f>(SUMIFS(DIARIO!$E$2:$E$123,DIARIO!$A$2:$A$123,$A11,DIARIO!$B$2:$B$123,"MOVIL")+SUMIFS(DIARIO!$E$2:$E$123,DIARIO!$A$2:$A$123,$A11,DIARIO!$B$2:$B$123,"FIJO")+SUMIFS(DIARIO!$E$2:$E$123,DIARIO!$A$2:$A$123,$A11,DIARIO!$B$2:$B$123,"MIXTO"))</f>
        <v/>
      </c>
      <c r="G11" s="19">
        <f>IFERROR(C11/F11,0)</f>
        <v/>
      </c>
      <c r="H11" s="37">
        <f>(SUMIFS(DIARIO!$F$2:$F$123,DIARIO!$A$2:$A$123,$A11,DIARIO!$B$2:$B$123,"MOVIL")+SUMIFS(DIARIO!$F$2:$F$123,DIARIO!$A$2:$A$123,$A11,DIARIO!$B$2:$B$123,"FIJO")+SUMIFS(DIARIO!$F$2:$F$123,DIARIO!$A$2:$A$123,$A11,DIARIO!$B$2:$B$123,"MIXTO"))</f>
        <v/>
      </c>
      <c r="I11" s="19">
        <f>IFERROR($C11/H11,0)</f>
        <v/>
      </c>
      <c r="J11" s="37">
        <f>(SUMIFS(DIARIO!$G$2:$G$123,DIARIO!$A$2:$A$123,$A11,DIARIO!$B$2:$B$123,"MOVIL")+SUMIFS(DIARIO!$G$2:$G$123,DIARIO!$A$2:$A$123,$A11,DIARIO!$B$2:$B$123,"FIJO")+SUMIFS(DIARIO!$G$2:$G$123,DIARIO!$A$2:$A$123,$A11,DIARIO!$B$2:$B$123,"MIXTO"))</f>
        <v/>
      </c>
      <c r="K11" s="19">
        <f>IFERROR($C11/J11,0)</f>
        <v/>
      </c>
      <c r="L11" s="37">
        <f>(SUMIFS(DIARIO!$H$2:$H$123,DIARIO!$A$2:$A$123,$A11,DIARIO!$B$2:$B$123,"MOVIL")+SUMIFS(DIARIO!$H$2:$H$123,DIARIO!$A$2:$A$123,$A11,DIARIO!$B$2:$B$123,"FIJO")+SUMIFS(DIARIO!$H$2:$H$123,DIARIO!$A$2:$A$123,$A11,DIARIO!$B$2:$B$123,"MIXTO"))</f>
        <v/>
      </c>
      <c r="M11" s="19">
        <f>IFERROR($C11/L11,0)</f>
        <v/>
      </c>
      <c r="N11" s="19">
        <f>SUM($C$3:C11)</f>
        <v/>
      </c>
      <c r="O11" s="19">
        <f>SUM($B$3:B11)</f>
        <v/>
      </c>
      <c r="P11" s="20">
        <f>IFERROR(N11/O11,0)</f>
        <v/>
      </c>
    </row>
    <row r="12">
      <c r="A12" s="40" t="n">
        <v>46275</v>
      </c>
      <c r="B12" s="19">
        <f>(SUMIFS(METAS_DIA!$D$2:$D$361,METAS_DIA!$A$2:$A$361,$A12,METAS_DIA!$B$2:$B$361,"MOVIL")+SUMIFS(METAS_DIA!$D$2:$D$361,METAS_DIA!$A$2:$A$361,$A12,METAS_DIA!$B$2:$B$361,"FIJO")+SUMIFS(METAS_DIA!$D$2:$D$361,METAS_DIA!$A$2:$A$361,$A12,METAS_DIA!$B$2:$B$361,"MIXTO"))</f>
        <v/>
      </c>
      <c r="C12" s="19">
        <f>(SUMIFS(DIARIO!$D$2:$D$123,DIARIO!$A$2:$A$123,$A12,DIARIO!$B$2:$B$123,"MOVIL")+SUMIFS(DIARIO!$D$2:$D$123,DIARIO!$A$2:$A$123,$A12,DIARIO!$B$2:$B$123,"FIJO")+SUMIFS(DIARIO!$D$2:$D$123,DIARIO!$A$2:$A$123,$A12,DIARIO!$B$2:$B$123,"MIXTO"))</f>
        <v/>
      </c>
      <c r="D12" s="20">
        <f>IFERROR(C12/B12,0)</f>
        <v/>
      </c>
      <c r="E12" s="21">
        <f>(SUMIFS(METAS_DIA!$E$2:$E$361,METAS_DIA!$A$2:$A$361,$A12,METAS_DIA!$B$2:$B$361,"MOVIL")+SUMIFS(METAS_DIA!$E$2:$E$361,METAS_DIA!$A$2:$A$361,$A12,METAS_DIA!$B$2:$B$361,"FIJO")+SUMIFS(METAS_DIA!$E$2:$E$361,METAS_DIA!$A$2:$A$361,$A12,METAS_DIA!$B$2:$B$361,"MIXTO"))</f>
        <v/>
      </c>
      <c r="F12" s="21">
        <f>(SUMIFS(DIARIO!$E$2:$E$123,DIARIO!$A$2:$A$123,$A12,DIARIO!$B$2:$B$123,"MOVIL")+SUMIFS(DIARIO!$E$2:$E$123,DIARIO!$A$2:$A$123,$A12,DIARIO!$B$2:$B$123,"FIJO")+SUMIFS(DIARIO!$E$2:$E$123,DIARIO!$A$2:$A$123,$A12,DIARIO!$B$2:$B$123,"MIXTO"))</f>
        <v/>
      </c>
      <c r="G12" s="19">
        <f>IFERROR(C12/F12,0)</f>
        <v/>
      </c>
      <c r="H12" s="37">
        <f>(SUMIFS(DIARIO!$F$2:$F$123,DIARIO!$A$2:$A$123,$A12,DIARIO!$B$2:$B$123,"MOVIL")+SUMIFS(DIARIO!$F$2:$F$123,DIARIO!$A$2:$A$123,$A12,DIARIO!$B$2:$B$123,"FIJO")+SUMIFS(DIARIO!$F$2:$F$123,DIARIO!$A$2:$A$123,$A12,DIARIO!$B$2:$B$123,"MIXTO"))</f>
        <v/>
      </c>
      <c r="I12" s="19">
        <f>IFERROR($C12/H12,0)</f>
        <v/>
      </c>
      <c r="J12" s="37">
        <f>(SUMIFS(DIARIO!$G$2:$G$123,DIARIO!$A$2:$A$123,$A12,DIARIO!$B$2:$B$123,"MOVIL")+SUMIFS(DIARIO!$G$2:$G$123,DIARIO!$A$2:$A$123,$A12,DIARIO!$B$2:$B$123,"FIJO")+SUMIFS(DIARIO!$G$2:$G$123,DIARIO!$A$2:$A$123,$A12,DIARIO!$B$2:$B$123,"MIXTO"))</f>
        <v/>
      </c>
      <c r="K12" s="19">
        <f>IFERROR($C12/J12,0)</f>
        <v/>
      </c>
      <c r="L12" s="37">
        <f>(SUMIFS(DIARIO!$H$2:$H$123,DIARIO!$A$2:$A$123,$A12,DIARIO!$B$2:$B$123,"MOVIL")+SUMIFS(DIARIO!$H$2:$H$123,DIARIO!$A$2:$A$123,$A12,DIARIO!$B$2:$B$123,"FIJO")+SUMIFS(DIARIO!$H$2:$H$123,DIARIO!$A$2:$A$123,$A12,DIARIO!$B$2:$B$123,"MIXTO"))</f>
        <v/>
      </c>
      <c r="M12" s="19">
        <f>IFERROR($C12/L12,0)</f>
        <v/>
      </c>
      <c r="N12" s="19">
        <f>SUM($C$3:C12)</f>
        <v/>
      </c>
      <c r="O12" s="19">
        <f>SUM($B$3:B12)</f>
        <v/>
      </c>
      <c r="P12" s="20">
        <f>IFERROR(N12/O12,0)</f>
        <v/>
      </c>
    </row>
    <row r="13">
      <c r="A13" s="40" t="n">
        <v>46276</v>
      </c>
      <c r="B13" s="19">
        <f>(SUMIFS(METAS_DIA!$D$2:$D$361,METAS_DIA!$A$2:$A$361,$A13,METAS_DIA!$B$2:$B$361,"MOVIL")+SUMIFS(METAS_DIA!$D$2:$D$361,METAS_DIA!$A$2:$A$361,$A13,METAS_DIA!$B$2:$B$361,"FIJO")+SUMIFS(METAS_DIA!$D$2:$D$361,METAS_DIA!$A$2:$A$361,$A13,METAS_DIA!$B$2:$B$361,"MIXTO"))</f>
        <v/>
      </c>
      <c r="C13" s="19">
        <f>(SUMIFS(DIARIO!$D$2:$D$123,DIARIO!$A$2:$A$123,$A13,DIARIO!$B$2:$B$123,"MOVIL")+SUMIFS(DIARIO!$D$2:$D$123,DIARIO!$A$2:$A$123,$A13,DIARIO!$B$2:$B$123,"FIJO")+SUMIFS(DIARIO!$D$2:$D$123,DIARIO!$A$2:$A$123,$A13,DIARIO!$B$2:$B$123,"MIXTO"))</f>
        <v/>
      </c>
      <c r="D13" s="20">
        <f>IFERROR(C13/B13,0)</f>
        <v/>
      </c>
      <c r="E13" s="21">
        <f>(SUMIFS(METAS_DIA!$E$2:$E$361,METAS_DIA!$A$2:$A$361,$A13,METAS_DIA!$B$2:$B$361,"MOVIL")+SUMIFS(METAS_DIA!$E$2:$E$361,METAS_DIA!$A$2:$A$361,$A13,METAS_DIA!$B$2:$B$361,"FIJO")+SUMIFS(METAS_DIA!$E$2:$E$361,METAS_DIA!$A$2:$A$361,$A13,METAS_DIA!$B$2:$B$361,"MIXTO"))</f>
        <v/>
      </c>
      <c r="F13" s="21">
        <f>(SUMIFS(DIARIO!$E$2:$E$123,DIARIO!$A$2:$A$123,$A13,DIARIO!$B$2:$B$123,"MOVIL")+SUMIFS(DIARIO!$E$2:$E$123,DIARIO!$A$2:$A$123,$A13,DIARIO!$B$2:$B$123,"FIJO")+SUMIFS(DIARIO!$E$2:$E$123,DIARIO!$A$2:$A$123,$A13,DIARIO!$B$2:$B$123,"MIXTO"))</f>
        <v/>
      </c>
      <c r="G13" s="19">
        <f>IFERROR(C13/F13,0)</f>
        <v/>
      </c>
      <c r="H13" s="37">
        <f>(SUMIFS(DIARIO!$F$2:$F$123,DIARIO!$A$2:$A$123,$A13,DIARIO!$B$2:$B$123,"MOVIL")+SUMIFS(DIARIO!$F$2:$F$123,DIARIO!$A$2:$A$123,$A13,DIARIO!$B$2:$B$123,"FIJO")+SUMIFS(DIARIO!$F$2:$F$123,DIARIO!$A$2:$A$123,$A13,DIARIO!$B$2:$B$123,"MIXTO"))</f>
        <v/>
      </c>
      <c r="I13" s="19">
        <f>IFERROR($C13/H13,0)</f>
        <v/>
      </c>
      <c r="J13" s="37">
        <f>(SUMIFS(DIARIO!$G$2:$G$123,DIARIO!$A$2:$A$123,$A13,DIARIO!$B$2:$B$123,"MOVIL")+SUMIFS(DIARIO!$G$2:$G$123,DIARIO!$A$2:$A$123,$A13,DIARIO!$B$2:$B$123,"FIJO")+SUMIFS(DIARIO!$G$2:$G$123,DIARIO!$A$2:$A$123,$A13,DIARIO!$B$2:$B$123,"MIXTO"))</f>
        <v/>
      </c>
      <c r="K13" s="19">
        <f>IFERROR($C13/J13,0)</f>
        <v/>
      </c>
      <c r="L13" s="37">
        <f>(SUMIFS(DIARIO!$H$2:$H$123,DIARIO!$A$2:$A$123,$A13,DIARIO!$B$2:$B$123,"MOVIL")+SUMIFS(DIARIO!$H$2:$H$123,DIARIO!$A$2:$A$123,$A13,DIARIO!$B$2:$B$123,"FIJO")+SUMIFS(DIARIO!$H$2:$H$123,DIARIO!$A$2:$A$123,$A13,DIARIO!$B$2:$B$123,"MIXTO"))</f>
        <v/>
      </c>
      <c r="M13" s="19">
        <f>IFERROR($C13/L13,0)</f>
        <v/>
      </c>
      <c r="N13" s="19">
        <f>SUM($C$3:C13)</f>
        <v/>
      </c>
      <c r="O13" s="19">
        <f>SUM($B$3:B13)</f>
        <v/>
      </c>
      <c r="P13" s="20">
        <f>IFERROR(N13/O13,0)</f>
        <v/>
      </c>
    </row>
    <row r="14">
      <c r="A14" s="40" t="n">
        <v>46277</v>
      </c>
      <c r="B14" s="19">
        <f>(SUMIFS(METAS_DIA!$D$2:$D$361,METAS_DIA!$A$2:$A$361,$A14,METAS_DIA!$B$2:$B$361,"MOVIL")+SUMIFS(METAS_DIA!$D$2:$D$361,METAS_DIA!$A$2:$A$361,$A14,METAS_DIA!$B$2:$B$361,"FIJO")+SUMIFS(METAS_DIA!$D$2:$D$361,METAS_DIA!$A$2:$A$361,$A14,METAS_DIA!$B$2:$B$361,"MIXTO"))</f>
        <v/>
      </c>
      <c r="C14" s="19">
        <f>(SUMIFS(DIARIO!$D$2:$D$123,DIARIO!$A$2:$A$123,$A14,DIARIO!$B$2:$B$123,"MOVIL")+SUMIFS(DIARIO!$D$2:$D$123,DIARIO!$A$2:$A$123,$A14,DIARIO!$B$2:$B$123,"FIJO")+SUMIFS(DIARIO!$D$2:$D$123,DIARIO!$A$2:$A$123,$A14,DIARIO!$B$2:$B$123,"MIXTO"))</f>
        <v/>
      </c>
      <c r="D14" s="20">
        <f>IFERROR(C14/B14,0)</f>
        <v/>
      </c>
      <c r="E14" s="21">
        <f>(SUMIFS(METAS_DIA!$E$2:$E$361,METAS_DIA!$A$2:$A$361,$A14,METAS_DIA!$B$2:$B$361,"MOVIL")+SUMIFS(METAS_DIA!$E$2:$E$361,METAS_DIA!$A$2:$A$361,$A14,METAS_DIA!$B$2:$B$361,"FIJO")+SUMIFS(METAS_DIA!$E$2:$E$361,METAS_DIA!$A$2:$A$361,$A14,METAS_DIA!$B$2:$B$361,"MIXTO"))</f>
        <v/>
      </c>
      <c r="F14" s="21">
        <f>(SUMIFS(DIARIO!$E$2:$E$123,DIARIO!$A$2:$A$123,$A14,DIARIO!$B$2:$B$123,"MOVIL")+SUMIFS(DIARIO!$E$2:$E$123,DIARIO!$A$2:$A$123,$A14,DIARIO!$B$2:$B$123,"FIJO")+SUMIFS(DIARIO!$E$2:$E$123,DIARIO!$A$2:$A$123,$A14,DIARIO!$B$2:$B$123,"MIXTO"))</f>
        <v/>
      </c>
      <c r="G14" s="19">
        <f>IFERROR(C14/F14,0)</f>
        <v/>
      </c>
      <c r="H14" s="37">
        <f>(SUMIFS(DIARIO!$F$2:$F$123,DIARIO!$A$2:$A$123,$A14,DIARIO!$B$2:$B$123,"MOVIL")+SUMIFS(DIARIO!$F$2:$F$123,DIARIO!$A$2:$A$123,$A14,DIARIO!$B$2:$B$123,"FIJO")+SUMIFS(DIARIO!$F$2:$F$123,DIARIO!$A$2:$A$123,$A14,DIARIO!$B$2:$B$123,"MIXTO"))</f>
        <v/>
      </c>
      <c r="I14" s="19">
        <f>IFERROR($C14/H14,0)</f>
        <v/>
      </c>
      <c r="J14" s="37">
        <f>(SUMIFS(DIARIO!$G$2:$G$123,DIARIO!$A$2:$A$123,$A14,DIARIO!$B$2:$B$123,"MOVIL")+SUMIFS(DIARIO!$G$2:$G$123,DIARIO!$A$2:$A$123,$A14,DIARIO!$B$2:$B$123,"FIJO")+SUMIFS(DIARIO!$G$2:$G$123,DIARIO!$A$2:$A$123,$A14,DIARIO!$B$2:$B$123,"MIXTO"))</f>
        <v/>
      </c>
      <c r="K14" s="19">
        <f>IFERROR($C14/J14,0)</f>
        <v/>
      </c>
      <c r="L14" s="37">
        <f>(SUMIFS(DIARIO!$H$2:$H$123,DIARIO!$A$2:$A$123,$A14,DIARIO!$B$2:$B$123,"MOVIL")+SUMIFS(DIARIO!$H$2:$H$123,DIARIO!$A$2:$A$123,$A14,DIARIO!$B$2:$B$123,"FIJO")+SUMIFS(DIARIO!$H$2:$H$123,DIARIO!$A$2:$A$123,$A14,DIARIO!$B$2:$B$123,"MIXTO"))</f>
        <v/>
      </c>
      <c r="M14" s="19">
        <f>IFERROR($C14/L14,0)</f>
        <v/>
      </c>
      <c r="N14" s="19">
        <f>SUM($C$3:C14)</f>
        <v/>
      </c>
      <c r="O14" s="19">
        <f>SUM($B$3:B14)</f>
        <v/>
      </c>
      <c r="P14" s="20">
        <f>IFERROR(N14/O14,0)</f>
        <v/>
      </c>
    </row>
    <row r="15">
      <c r="A15" s="40" t="n">
        <v>46278</v>
      </c>
      <c r="B15" s="19">
        <f>(SUMIFS(METAS_DIA!$D$2:$D$361,METAS_DIA!$A$2:$A$361,$A15,METAS_DIA!$B$2:$B$361,"MOVIL")+SUMIFS(METAS_DIA!$D$2:$D$361,METAS_DIA!$A$2:$A$361,$A15,METAS_DIA!$B$2:$B$361,"FIJO")+SUMIFS(METAS_DIA!$D$2:$D$361,METAS_DIA!$A$2:$A$361,$A15,METAS_DIA!$B$2:$B$361,"MIXTO"))</f>
        <v/>
      </c>
      <c r="C15" s="19">
        <f>(SUMIFS(DIARIO!$D$2:$D$123,DIARIO!$A$2:$A$123,$A15,DIARIO!$B$2:$B$123,"MOVIL")+SUMIFS(DIARIO!$D$2:$D$123,DIARIO!$A$2:$A$123,$A15,DIARIO!$B$2:$B$123,"FIJO")+SUMIFS(DIARIO!$D$2:$D$123,DIARIO!$A$2:$A$123,$A15,DIARIO!$B$2:$B$123,"MIXTO"))</f>
        <v/>
      </c>
      <c r="D15" s="20">
        <f>IFERROR(C15/B15,0)</f>
        <v/>
      </c>
      <c r="E15" s="21">
        <f>(SUMIFS(METAS_DIA!$E$2:$E$361,METAS_DIA!$A$2:$A$361,$A15,METAS_DIA!$B$2:$B$361,"MOVIL")+SUMIFS(METAS_DIA!$E$2:$E$361,METAS_DIA!$A$2:$A$361,$A15,METAS_DIA!$B$2:$B$361,"FIJO")+SUMIFS(METAS_DIA!$E$2:$E$361,METAS_DIA!$A$2:$A$361,$A15,METAS_DIA!$B$2:$B$361,"MIXTO"))</f>
        <v/>
      </c>
      <c r="F15" s="21">
        <f>(SUMIFS(DIARIO!$E$2:$E$123,DIARIO!$A$2:$A$123,$A15,DIARIO!$B$2:$B$123,"MOVIL")+SUMIFS(DIARIO!$E$2:$E$123,DIARIO!$A$2:$A$123,$A15,DIARIO!$B$2:$B$123,"FIJO")+SUMIFS(DIARIO!$E$2:$E$123,DIARIO!$A$2:$A$123,$A15,DIARIO!$B$2:$B$123,"MIXTO"))</f>
        <v/>
      </c>
      <c r="G15" s="19">
        <f>IFERROR(C15/F15,0)</f>
        <v/>
      </c>
      <c r="H15" s="37">
        <f>(SUMIFS(DIARIO!$F$2:$F$123,DIARIO!$A$2:$A$123,$A15,DIARIO!$B$2:$B$123,"MOVIL")+SUMIFS(DIARIO!$F$2:$F$123,DIARIO!$A$2:$A$123,$A15,DIARIO!$B$2:$B$123,"FIJO")+SUMIFS(DIARIO!$F$2:$F$123,DIARIO!$A$2:$A$123,$A15,DIARIO!$B$2:$B$123,"MIXTO"))</f>
        <v/>
      </c>
      <c r="I15" s="19">
        <f>IFERROR($C15/H15,0)</f>
        <v/>
      </c>
      <c r="J15" s="37">
        <f>(SUMIFS(DIARIO!$G$2:$G$123,DIARIO!$A$2:$A$123,$A15,DIARIO!$B$2:$B$123,"MOVIL")+SUMIFS(DIARIO!$G$2:$G$123,DIARIO!$A$2:$A$123,$A15,DIARIO!$B$2:$B$123,"FIJO")+SUMIFS(DIARIO!$G$2:$G$123,DIARIO!$A$2:$A$123,$A15,DIARIO!$B$2:$B$123,"MIXTO"))</f>
        <v/>
      </c>
      <c r="K15" s="19">
        <f>IFERROR($C15/J15,0)</f>
        <v/>
      </c>
      <c r="L15" s="37">
        <f>(SUMIFS(DIARIO!$H$2:$H$123,DIARIO!$A$2:$A$123,$A15,DIARIO!$B$2:$B$123,"MOVIL")+SUMIFS(DIARIO!$H$2:$H$123,DIARIO!$A$2:$A$123,$A15,DIARIO!$B$2:$B$123,"FIJO")+SUMIFS(DIARIO!$H$2:$H$123,DIARIO!$A$2:$A$123,$A15,DIARIO!$B$2:$B$123,"MIXTO"))</f>
        <v/>
      </c>
      <c r="M15" s="19">
        <f>IFERROR($C15/L15,0)</f>
        <v/>
      </c>
      <c r="N15" s="19">
        <f>SUM($C$3:C15)</f>
        <v/>
      </c>
      <c r="O15" s="19">
        <f>SUM($B$3:B15)</f>
        <v/>
      </c>
      <c r="P15" s="20">
        <f>IFERROR(N15/O15,0)</f>
        <v/>
      </c>
    </row>
    <row r="16">
      <c r="A16" s="40" t="n">
        <v>46279</v>
      </c>
      <c r="B16" s="19">
        <f>(SUMIFS(METAS_DIA!$D$2:$D$361,METAS_DIA!$A$2:$A$361,$A16,METAS_DIA!$B$2:$B$361,"MOVIL")+SUMIFS(METAS_DIA!$D$2:$D$361,METAS_DIA!$A$2:$A$361,$A16,METAS_DIA!$B$2:$B$361,"FIJO")+SUMIFS(METAS_DIA!$D$2:$D$361,METAS_DIA!$A$2:$A$361,$A16,METAS_DIA!$B$2:$B$361,"MIXTO"))</f>
        <v/>
      </c>
      <c r="C16" s="19">
        <f>(SUMIFS(DIARIO!$D$2:$D$123,DIARIO!$A$2:$A$123,$A16,DIARIO!$B$2:$B$123,"MOVIL")+SUMIFS(DIARIO!$D$2:$D$123,DIARIO!$A$2:$A$123,$A16,DIARIO!$B$2:$B$123,"FIJO")+SUMIFS(DIARIO!$D$2:$D$123,DIARIO!$A$2:$A$123,$A16,DIARIO!$B$2:$B$123,"MIXTO"))</f>
        <v/>
      </c>
      <c r="D16" s="20">
        <f>IFERROR(C16/B16,0)</f>
        <v/>
      </c>
      <c r="E16" s="21">
        <f>(SUMIFS(METAS_DIA!$E$2:$E$361,METAS_DIA!$A$2:$A$361,$A16,METAS_DIA!$B$2:$B$361,"MOVIL")+SUMIFS(METAS_DIA!$E$2:$E$361,METAS_DIA!$A$2:$A$361,$A16,METAS_DIA!$B$2:$B$361,"FIJO")+SUMIFS(METAS_DIA!$E$2:$E$361,METAS_DIA!$A$2:$A$361,$A16,METAS_DIA!$B$2:$B$361,"MIXTO"))</f>
        <v/>
      </c>
      <c r="F16" s="21">
        <f>(SUMIFS(DIARIO!$E$2:$E$123,DIARIO!$A$2:$A$123,$A16,DIARIO!$B$2:$B$123,"MOVIL")+SUMIFS(DIARIO!$E$2:$E$123,DIARIO!$A$2:$A$123,$A16,DIARIO!$B$2:$B$123,"FIJO")+SUMIFS(DIARIO!$E$2:$E$123,DIARIO!$A$2:$A$123,$A16,DIARIO!$B$2:$B$123,"MIXTO"))</f>
        <v/>
      </c>
      <c r="G16" s="19">
        <f>IFERROR(C16/F16,0)</f>
        <v/>
      </c>
      <c r="H16" s="37">
        <f>(SUMIFS(DIARIO!$F$2:$F$123,DIARIO!$A$2:$A$123,$A16,DIARIO!$B$2:$B$123,"MOVIL")+SUMIFS(DIARIO!$F$2:$F$123,DIARIO!$A$2:$A$123,$A16,DIARIO!$B$2:$B$123,"FIJO")+SUMIFS(DIARIO!$F$2:$F$123,DIARIO!$A$2:$A$123,$A16,DIARIO!$B$2:$B$123,"MIXTO"))</f>
        <v/>
      </c>
      <c r="I16" s="19">
        <f>IFERROR($C16/H16,0)</f>
        <v/>
      </c>
      <c r="J16" s="37">
        <f>(SUMIFS(DIARIO!$G$2:$G$123,DIARIO!$A$2:$A$123,$A16,DIARIO!$B$2:$B$123,"MOVIL")+SUMIFS(DIARIO!$G$2:$G$123,DIARIO!$A$2:$A$123,$A16,DIARIO!$B$2:$B$123,"FIJO")+SUMIFS(DIARIO!$G$2:$G$123,DIARIO!$A$2:$A$123,$A16,DIARIO!$B$2:$B$123,"MIXTO"))</f>
        <v/>
      </c>
      <c r="K16" s="19">
        <f>IFERROR($C16/J16,0)</f>
        <v/>
      </c>
      <c r="L16" s="37">
        <f>(SUMIFS(DIARIO!$H$2:$H$123,DIARIO!$A$2:$A$123,$A16,DIARIO!$B$2:$B$123,"MOVIL")+SUMIFS(DIARIO!$H$2:$H$123,DIARIO!$A$2:$A$123,$A16,DIARIO!$B$2:$B$123,"FIJO")+SUMIFS(DIARIO!$H$2:$H$123,DIARIO!$A$2:$A$123,$A16,DIARIO!$B$2:$B$123,"MIXTO"))</f>
        <v/>
      </c>
      <c r="M16" s="19">
        <f>IFERROR($C16/L16,0)</f>
        <v/>
      </c>
      <c r="N16" s="19">
        <f>SUM($C$3:C16)</f>
        <v/>
      </c>
      <c r="O16" s="19">
        <f>SUM($B$3:B16)</f>
        <v/>
      </c>
      <c r="P16" s="20">
        <f>IFERROR(N16/O16,0)</f>
        <v/>
      </c>
    </row>
    <row r="17">
      <c r="A17" s="40" t="n">
        <v>46280</v>
      </c>
      <c r="B17" s="19">
        <f>(SUMIFS(METAS_DIA!$D$2:$D$361,METAS_DIA!$A$2:$A$361,$A17,METAS_DIA!$B$2:$B$361,"MOVIL")+SUMIFS(METAS_DIA!$D$2:$D$361,METAS_DIA!$A$2:$A$361,$A17,METAS_DIA!$B$2:$B$361,"FIJO")+SUMIFS(METAS_DIA!$D$2:$D$361,METAS_DIA!$A$2:$A$361,$A17,METAS_DIA!$B$2:$B$361,"MIXTO"))</f>
        <v/>
      </c>
      <c r="C17" s="19">
        <f>(SUMIFS(DIARIO!$D$2:$D$123,DIARIO!$A$2:$A$123,$A17,DIARIO!$B$2:$B$123,"MOVIL")+SUMIFS(DIARIO!$D$2:$D$123,DIARIO!$A$2:$A$123,$A17,DIARIO!$B$2:$B$123,"FIJO")+SUMIFS(DIARIO!$D$2:$D$123,DIARIO!$A$2:$A$123,$A17,DIARIO!$B$2:$B$123,"MIXTO"))</f>
        <v/>
      </c>
      <c r="D17" s="20">
        <f>IFERROR(C17/B17,0)</f>
        <v/>
      </c>
      <c r="E17" s="21">
        <f>(SUMIFS(METAS_DIA!$E$2:$E$361,METAS_DIA!$A$2:$A$361,$A17,METAS_DIA!$B$2:$B$361,"MOVIL")+SUMIFS(METAS_DIA!$E$2:$E$361,METAS_DIA!$A$2:$A$361,$A17,METAS_DIA!$B$2:$B$361,"FIJO")+SUMIFS(METAS_DIA!$E$2:$E$361,METAS_DIA!$A$2:$A$361,$A17,METAS_DIA!$B$2:$B$361,"MIXTO"))</f>
        <v/>
      </c>
      <c r="F17" s="21">
        <f>(SUMIFS(DIARIO!$E$2:$E$123,DIARIO!$A$2:$A$123,$A17,DIARIO!$B$2:$B$123,"MOVIL")+SUMIFS(DIARIO!$E$2:$E$123,DIARIO!$A$2:$A$123,$A17,DIARIO!$B$2:$B$123,"FIJO")+SUMIFS(DIARIO!$E$2:$E$123,DIARIO!$A$2:$A$123,$A17,DIARIO!$B$2:$B$123,"MIXTO"))</f>
        <v/>
      </c>
      <c r="G17" s="19">
        <f>IFERROR(C17/F17,0)</f>
        <v/>
      </c>
      <c r="H17" s="37">
        <f>(SUMIFS(DIARIO!$F$2:$F$123,DIARIO!$A$2:$A$123,$A17,DIARIO!$B$2:$B$123,"MOVIL")+SUMIFS(DIARIO!$F$2:$F$123,DIARIO!$A$2:$A$123,$A17,DIARIO!$B$2:$B$123,"FIJO")+SUMIFS(DIARIO!$F$2:$F$123,DIARIO!$A$2:$A$123,$A17,DIARIO!$B$2:$B$123,"MIXTO"))</f>
        <v/>
      </c>
      <c r="I17" s="19">
        <f>IFERROR($C17/H17,0)</f>
        <v/>
      </c>
      <c r="J17" s="37">
        <f>(SUMIFS(DIARIO!$G$2:$G$123,DIARIO!$A$2:$A$123,$A17,DIARIO!$B$2:$B$123,"MOVIL")+SUMIFS(DIARIO!$G$2:$G$123,DIARIO!$A$2:$A$123,$A17,DIARIO!$B$2:$B$123,"FIJO")+SUMIFS(DIARIO!$G$2:$G$123,DIARIO!$A$2:$A$123,$A17,DIARIO!$B$2:$B$123,"MIXTO"))</f>
        <v/>
      </c>
      <c r="K17" s="19">
        <f>IFERROR($C17/J17,0)</f>
        <v/>
      </c>
      <c r="L17" s="37">
        <f>(SUMIFS(DIARIO!$H$2:$H$123,DIARIO!$A$2:$A$123,$A17,DIARIO!$B$2:$B$123,"MOVIL")+SUMIFS(DIARIO!$H$2:$H$123,DIARIO!$A$2:$A$123,$A17,DIARIO!$B$2:$B$123,"FIJO")+SUMIFS(DIARIO!$H$2:$H$123,DIARIO!$A$2:$A$123,$A17,DIARIO!$B$2:$B$123,"MIXTO"))</f>
        <v/>
      </c>
      <c r="M17" s="19">
        <f>IFERROR($C17/L17,0)</f>
        <v/>
      </c>
      <c r="N17" s="19">
        <f>SUM($C$3:C17)</f>
        <v/>
      </c>
      <c r="O17" s="19">
        <f>SUM($B$3:B17)</f>
        <v/>
      </c>
      <c r="P17" s="20">
        <f>IFERROR(N17/O17,0)</f>
        <v/>
      </c>
    </row>
    <row r="18">
      <c r="A18" s="40" t="n">
        <v>46281</v>
      </c>
      <c r="B18" s="19">
        <f>(SUMIFS(METAS_DIA!$D$2:$D$361,METAS_DIA!$A$2:$A$361,$A18,METAS_DIA!$B$2:$B$361,"MOVIL")+SUMIFS(METAS_DIA!$D$2:$D$361,METAS_DIA!$A$2:$A$361,$A18,METAS_DIA!$B$2:$B$361,"FIJO")+SUMIFS(METAS_DIA!$D$2:$D$361,METAS_DIA!$A$2:$A$361,$A18,METAS_DIA!$B$2:$B$361,"MIXTO"))</f>
        <v/>
      </c>
      <c r="C18" s="19">
        <f>(SUMIFS(DIARIO!$D$2:$D$123,DIARIO!$A$2:$A$123,$A18,DIARIO!$B$2:$B$123,"MOVIL")+SUMIFS(DIARIO!$D$2:$D$123,DIARIO!$A$2:$A$123,$A18,DIARIO!$B$2:$B$123,"FIJO")+SUMIFS(DIARIO!$D$2:$D$123,DIARIO!$A$2:$A$123,$A18,DIARIO!$B$2:$B$123,"MIXTO"))</f>
        <v/>
      </c>
      <c r="D18" s="20">
        <f>IFERROR(C18/B18,0)</f>
        <v/>
      </c>
      <c r="E18" s="21">
        <f>(SUMIFS(METAS_DIA!$E$2:$E$361,METAS_DIA!$A$2:$A$361,$A18,METAS_DIA!$B$2:$B$361,"MOVIL")+SUMIFS(METAS_DIA!$E$2:$E$361,METAS_DIA!$A$2:$A$361,$A18,METAS_DIA!$B$2:$B$361,"FIJO")+SUMIFS(METAS_DIA!$E$2:$E$361,METAS_DIA!$A$2:$A$361,$A18,METAS_DIA!$B$2:$B$361,"MIXTO"))</f>
        <v/>
      </c>
      <c r="F18" s="21">
        <f>(SUMIFS(DIARIO!$E$2:$E$123,DIARIO!$A$2:$A$123,$A18,DIARIO!$B$2:$B$123,"MOVIL")+SUMIFS(DIARIO!$E$2:$E$123,DIARIO!$A$2:$A$123,$A18,DIARIO!$B$2:$B$123,"FIJO")+SUMIFS(DIARIO!$E$2:$E$123,DIARIO!$A$2:$A$123,$A18,DIARIO!$B$2:$B$123,"MIXTO"))</f>
        <v/>
      </c>
      <c r="G18" s="19">
        <f>IFERROR(C18/F18,0)</f>
        <v/>
      </c>
      <c r="H18" s="37">
        <f>(SUMIFS(DIARIO!$F$2:$F$123,DIARIO!$A$2:$A$123,$A18,DIARIO!$B$2:$B$123,"MOVIL")+SUMIFS(DIARIO!$F$2:$F$123,DIARIO!$A$2:$A$123,$A18,DIARIO!$B$2:$B$123,"FIJO")+SUMIFS(DIARIO!$F$2:$F$123,DIARIO!$A$2:$A$123,$A18,DIARIO!$B$2:$B$123,"MIXTO"))</f>
        <v/>
      </c>
      <c r="I18" s="19">
        <f>IFERROR($C18/H18,0)</f>
        <v/>
      </c>
      <c r="J18" s="37">
        <f>(SUMIFS(DIARIO!$G$2:$G$123,DIARIO!$A$2:$A$123,$A18,DIARIO!$B$2:$B$123,"MOVIL")+SUMIFS(DIARIO!$G$2:$G$123,DIARIO!$A$2:$A$123,$A18,DIARIO!$B$2:$B$123,"FIJO")+SUMIFS(DIARIO!$G$2:$G$123,DIARIO!$A$2:$A$123,$A18,DIARIO!$B$2:$B$123,"MIXTO"))</f>
        <v/>
      </c>
      <c r="K18" s="19">
        <f>IFERROR($C18/J18,0)</f>
        <v/>
      </c>
      <c r="L18" s="37">
        <f>(SUMIFS(DIARIO!$H$2:$H$123,DIARIO!$A$2:$A$123,$A18,DIARIO!$B$2:$B$123,"MOVIL")+SUMIFS(DIARIO!$H$2:$H$123,DIARIO!$A$2:$A$123,$A18,DIARIO!$B$2:$B$123,"FIJO")+SUMIFS(DIARIO!$H$2:$H$123,DIARIO!$A$2:$A$123,$A18,DIARIO!$B$2:$B$123,"MIXTO"))</f>
        <v/>
      </c>
      <c r="M18" s="19">
        <f>IFERROR($C18/L18,0)</f>
        <v/>
      </c>
      <c r="N18" s="19">
        <f>SUM($C$3:C18)</f>
        <v/>
      </c>
      <c r="O18" s="19">
        <f>SUM($B$3:B18)</f>
        <v/>
      </c>
      <c r="P18" s="20">
        <f>IFERROR(N18/O18,0)</f>
        <v/>
      </c>
    </row>
    <row r="19">
      <c r="A19" s="40" t="n">
        <v>46282</v>
      </c>
      <c r="B19" s="19">
        <f>(SUMIFS(METAS_DIA!$D$2:$D$361,METAS_DIA!$A$2:$A$361,$A19,METAS_DIA!$B$2:$B$361,"MOVIL")+SUMIFS(METAS_DIA!$D$2:$D$361,METAS_DIA!$A$2:$A$361,$A19,METAS_DIA!$B$2:$B$361,"FIJO")+SUMIFS(METAS_DIA!$D$2:$D$361,METAS_DIA!$A$2:$A$361,$A19,METAS_DIA!$B$2:$B$361,"MIXTO"))</f>
        <v/>
      </c>
      <c r="C19" s="19">
        <f>(SUMIFS(DIARIO!$D$2:$D$123,DIARIO!$A$2:$A$123,$A19,DIARIO!$B$2:$B$123,"MOVIL")+SUMIFS(DIARIO!$D$2:$D$123,DIARIO!$A$2:$A$123,$A19,DIARIO!$B$2:$B$123,"FIJO")+SUMIFS(DIARIO!$D$2:$D$123,DIARIO!$A$2:$A$123,$A19,DIARIO!$B$2:$B$123,"MIXTO"))</f>
        <v/>
      </c>
      <c r="D19" s="20">
        <f>IFERROR(C19/B19,0)</f>
        <v/>
      </c>
      <c r="E19" s="21">
        <f>(SUMIFS(METAS_DIA!$E$2:$E$361,METAS_DIA!$A$2:$A$361,$A19,METAS_DIA!$B$2:$B$361,"MOVIL")+SUMIFS(METAS_DIA!$E$2:$E$361,METAS_DIA!$A$2:$A$361,$A19,METAS_DIA!$B$2:$B$361,"FIJO")+SUMIFS(METAS_DIA!$E$2:$E$361,METAS_DIA!$A$2:$A$361,$A19,METAS_DIA!$B$2:$B$361,"MIXTO"))</f>
        <v/>
      </c>
      <c r="F19" s="21">
        <f>(SUMIFS(DIARIO!$E$2:$E$123,DIARIO!$A$2:$A$123,$A19,DIARIO!$B$2:$B$123,"MOVIL")+SUMIFS(DIARIO!$E$2:$E$123,DIARIO!$A$2:$A$123,$A19,DIARIO!$B$2:$B$123,"FIJO")+SUMIFS(DIARIO!$E$2:$E$123,DIARIO!$A$2:$A$123,$A19,DIARIO!$B$2:$B$123,"MIXTO"))</f>
        <v/>
      </c>
      <c r="G19" s="19">
        <f>IFERROR(C19/F19,0)</f>
        <v/>
      </c>
      <c r="H19" s="37">
        <f>(SUMIFS(DIARIO!$F$2:$F$123,DIARIO!$A$2:$A$123,$A19,DIARIO!$B$2:$B$123,"MOVIL")+SUMIFS(DIARIO!$F$2:$F$123,DIARIO!$A$2:$A$123,$A19,DIARIO!$B$2:$B$123,"FIJO")+SUMIFS(DIARIO!$F$2:$F$123,DIARIO!$A$2:$A$123,$A19,DIARIO!$B$2:$B$123,"MIXTO"))</f>
        <v/>
      </c>
      <c r="I19" s="19">
        <f>IFERROR($C19/H19,0)</f>
        <v/>
      </c>
      <c r="J19" s="37">
        <f>(SUMIFS(DIARIO!$G$2:$G$123,DIARIO!$A$2:$A$123,$A19,DIARIO!$B$2:$B$123,"MOVIL")+SUMIFS(DIARIO!$G$2:$G$123,DIARIO!$A$2:$A$123,$A19,DIARIO!$B$2:$B$123,"FIJO")+SUMIFS(DIARIO!$G$2:$G$123,DIARIO!$A$2:$A$123,$A19,DIARIO!$B$2:$B$123,"MIXTO"))</f>
        <v/>
      </c>
      <c r="K19" s="19">
        <f>IFERROR($C19/J19,0)</f>
        <v/>
      </c>
      <c r="L19" s="37">
        <f>(SUMIFS(DIARIO!$H$2:$H$123,DIARIO!$A$2:$A$123,$A19,DIARIO!$B$2:$B$123,"MOVIL")+SUMIFS(DIARIO!$H$2:$H$123,DIARIO!$A$2:$A$123,$A19,DIARIO!$B$2:$B$123,"FIJO")+SUMIFS(DIARIO!$H$2:$H$123,DIARIO!$A$2:$A$123,$A19,DIARIO!$B$2:$B$123,"MIXTO"))</f>
        <v/>
      </c>
      <c r="M19" s="19">
        <f>IFERROR($C19/L19,0)</f>
        <v/>
      </c>
      <c r="N19" s="19">
        <f>SUM($C$3:C19)</f>
        <v/>
      </c>
      <c r="O19" s="19">
        <f>SUM($B$3:B19)</f>
        <v/>
      </c>
      <c r="P19" s="20">
        <f>IFERROR(N19/O19,0)</f>
        <v/>
      </c>
    </row>
    <row r="20">
      <c r="A20" s="40" t="n">
        <v>46283</v>
      </c>
      <c r="B20" s="19">
        <f>(SUMIFS(METAS_DIA!$D$2:$D$361,METAS_DIA!$A$2:$A$361,$A20,METAS_DIA!$B$2:$B$361,"MOVIL")+SUMIFS(METAS_DIA!$D$2:$D$361,METAS_DIA!$A$2:$A$361,$A20,METAS_DIA!$B$2:$B$361,"FIJO")+SUMIFS(METAS_DIA!$D$2:$D$361,METAS_DIA!$A$2:$A$361,$A20,METAS_DIA!$B$2:$B$361,"MIXTO"))</f>
        <v/>
      </c>
      <c r="C20" s="19">
        <f>(SUMIFS(DIARIO!$D$2:$D$123,DIARIO!$A$2:$A$123,$A20,DIARIO!$B$2:$B$123,"MOVIL")+SUMIFS(DIARIO!$D$2:$D$123,DIARIO!$A$2:$A$123,$A20,DIARIO!$B$2:$B$123,"FIJO")+SUMIFS(DIARIO!$D$2:$D$123,DIARIO!$A$2:$A$123,$A20,DIARIO!$B$2:$B$123,"MIXTO"))</f>
        <v/>
      </c>
      <c r="D20" s="20">
        <f>IFERROR(C20/B20,0)</f>
        <v/>
      </c>
      <c r="E20" s="21">
        <f>(SUMIFS(METAS_DIA!$E$2:$E$361,METAS_DIA!$A$2:$A$361,$A20,METAS_DIA!$B$2:$B$361,"MOVIL")+SUMIFS(METAS_DIA!$E$2:$E$361,METAS_DIA!$A$2:$A$361,$A20,METAS_DIA!$B$2:$B$361,"FIJO")+SUMIFS(METAS_DIA!$E$2:$E$361,METAS_DIA!$A$2:$A$361,$A20,METAS_DIA!$B$2:$B$361,"MIXTO"))</f>
        <v/>
      </c>
      <c r="F20" s="21">
        <f>(SUMIFS(DIARIO!$E$2:$E$123,DIARIO!$A$2:$A$123,$A20,DIARIO!$B$2:$B$123,"MOVIL")+SUMIFS(DIARIO!$E$2:$E$123,DIARIO!$A$2:$A$123,$A20,DIARIO!$B$2:$B$123,"FIJO")+SUMIFS(DIARIO!$E$2:$E$123,DIARIO!$A$2:$A$123,$A20,DIARIO!$B$2:$B$123,"MIXTO"))</f>
        <v/>
      </c>
      <c r="G20" s="19">
        <f>IFERROR(C20/F20,0)</f>
        <v/>
      </c>
      <c r="H20" s="37">
        <f>(SUMIFS(DIARIO!$F$2:$F$123,DIARIO!$A$2:$A$123,$A20,DIARIO!$B$2:$B$123,"MOVIL")+SUMIFS(DIARIO!$F$2:$F$123,DIARIO!$A$2:$A$123,$A20,DIARIO!$B$2:$B$123,"FIJO")+SUMIFS(DIARIO!$F$2:$F$123,DIARIO!$A$2:$A$123,$A20,DIARIO!$B$2:$B$123,"MIXTO"))</f>
        <v/>
      </c>
      <c r="I20" s="19">
        <f>IFERROR($C20/H20,0)</f>
        <v/>
      </c>
      <c r="J20" s="37">
        <f>(SUMIFS(DIARIO!$G$2:$G$123,DIARIO!$A$2:$A$123,$A20,DIARIO!$B$2:$B$123,"MOVIL")+SUMIFS(DIARIO!$G$2:$G$123,DIARIO!$A$2:$A$123,$A20,DIARIO!$B$2:$B$123,"FIJO")+SUMIFS(DIARIO!$G$2:$G$123,DIARIO!$A$2:$A$123,$A20,DIARIO!$B$2:$B$123,"MIXTO"))</f>
        <v/>
      </c>
      <c r="K20" s="19">
        <f>IFERROR($C20/J20,0)</f>
        <v/>
      </c>
      <c r="L20" s="37">
        <f>(SUMIFS(DIARIO!$H$2:$H$123,DIARIO!$A$2:$A$123,$A20,DIARIO!$B$2:$B$123,"MOVIL")+SUMIFS(DIARIO!$H$2:$H$123,DIARIO!$A$2:$A$123,$A20,DIARIO!$B$2:$B$123,"FIJO")+SUMIFS(DIARIO!$H$2:$H$123,DIARIO!$A$2:$A$123,$A20,DIARIO!$B$2:$B$123,"MIXTO"))</f>
        <v/>
      </c>
      <c r="M20" s="19">
        <f>IFERROR($C20/L20,0)</f>
        <v/>
      </c>
      <c r="N20" s="19">
        <f>SUM($C$3:C20)</f>
        <v/>
      </c>
      <c r="O20" s="19">
        <f>SUM($B$3:B20)</f>
        <v/>
      </c>
      <c r="P20" s="20">
        <f>IFERROR(N20/O20,0)</f>
        <v/>
      </c>
    </row>
    <row r="21">
      <c r="A21" s="40" t="n">
        <v>46284</v>
      </c>
      <c r="B21" s="19">
        <f>(SUMIFS(METAS_DIA!$D$2:$D$361,METAS_DIA!$A$2:$A$361,$A21,METAS_DIA!$B$2:$B$361,"MOVIL")+SUMIFS(METAS_DIA!$D$2:$D$361,METAS_DIA!$A$2:$A$361,$A21,METAS_DIA!$B$2:$B$361,"FIJO")+SUMIFS(METAS_DIA!$D$2:$D$361,METAS_DIA!$A$2:$A$361,$A21,METAS_DIA!$B$2:$B$361,"MIXTO"))</f>
        <v/>
      </c>
      <c r="C21" s="19">
        <f>(SUMIFS(DIARIO!$D$2:$D$123,DIARIO!$A$2:$A$123,$A21,DIARIO!$B$2:$B$123,"MOVIL")+SUMIFS(DIARIO!$D$2:$D$123,DIARIO!$A$2:$A$123,$A21,DIARIO!$B$2:$B$123,"FIJO")+SUMIFS(DIARIO!$D$2:$D$123,DIARIO!$A$2:$A$123,$A21,DIARIO!$B$2:$B$123,"MIXTO"))</f>
        <v/>
      </c>
      <c r="D21" s="20">
        <f>IFERROR(C21/B21,0)</f>
        <v/>
      </c>
      <c r="E21" s="21">
        <f>(SUMIFS(METAS_DIA!$E$2:$E$361,METAS_DIA!$A$2:$A$361,$A21,METAS_DIA!$B$2:$B$361,"MOVIL")+SUMIFS(METAS_DIA!$E$2:$E$361,METAS_DIA!$A$2:$A$361,$A21,METAS_DIA!$B$2:$B$361,"FIJO")+SUMIFS(METAS_DIA!$E$2:$E$361,METAS_DIA!$A$2:$A$361,$A21,METAS_DIA!$B$2:$B$361,"MIXTO"))</f>
        <v/>
      </c>
      <c r="F21" s="21">
        <f>(SUMIFS(DIARIO!$E$2:$E$123,DIARIO!$A$2:$A$123,$A21,DIARIO!$B$2:$B$123,"MOVIL")+SUMIFS(DIARIO!$E$2:$E$123,DIARIO!$A$2:$A$123,$A21,DIARIO!$B$2:$B$123,"FIJO")+SUMIFS(DIARIO!$E$2:$E$123,DIARIO!$A$2:$A$123,$A21,DIARIO!$B$2:$B$123,"MIXTO"))</f>
        <v/>
      </c>
      <c r="G21" s="19">
        <f>IFERROR(C21/F21,0)</f>
        <v/>
      </c>
      <c r="H21" s="37">
        <f>(SUMIFS(DIARIO!$F$2:$F$123,DIARIO!$A$2:$A$123,$A21,DIARIO!$B$2:$B$123,"MOVIL")+SUMIFS(DIARIO!$F$2:$F$123,DIARIO!$A$2:$A$123,$A21,DIARIO!$B$2:$B$123,"FIJO")+SUMIFS(DIARIO!$F$2:$F$123,DIARIO!$A$2:$A$123,$A21,DIARIO!$B$2:$B$123,"MIXTO"))</f>
        <v/>
      </c>
      <c r="I21" s="19">
        <f>IFERROR($C21/H21,0)</f>
        <v/>
      </c>
      <c r="J21" s="37">
        <f>(SUMIFS(DIARIO!$G$2:$G$123,DIARIO!$A$2:$A$123,$A21,DIARIO!$B$2:$B$123,"MOVIL")+SUMIFS(DIARIO!$G$2:$G$123,DIARIO!$A$2:$A$123,$A21,DIARIO!$B$2:$B$123,"FIJO")+SUMIFS(DIARIO!$G$2:$G$123,DIARIO!$A$2:$A$123,$A21,DIARIO!$B$2:$B$123,"MIXTO"))</f>
        <v/>
      </c>
      <c r="K21" s="19">
        <f>IFERROR($C21/J21,0)</f>
        <v/>
      </c>
      <c r="L21" s="37">
        <f>(SUMIFS(DIARIO!$H$2:$H$123,DIARIO!$A$2:$A$123,$A21,DIARIO!$B$2:$B$123,"MOVIL")+SUMIFS(DIARIO!$H$2:$H$123,DIARIO!$A$2:$A$123,$A21,DIARIO!$B$2:$B$123,"FIJO")+SUMIFS(DIARIO!$H$2:$H$123,DIARIO!$A$2:$A$123,$A21,DIARIO!$B$2:$B$123,"MIXTO"))</f>
        <v/>
      </c>
      <c r="M21" s="19">
        <f>IFERROR($C21/L21,0)</f>
        <v/>
      </c>
      <c r="N21" s="19">
        <f>SUM($C$3:C21)</f>
        <v/>
      </c>
      <c r="O21" s="19">
        <f>SUM($B$3:B21)</f>
        <v/>
      </c>
      <c r="P21" s="20">
        <f>IFERROR(N21/O21,0)</f>
        <v/>
      </c>
    </row>
    <row r="22">
      <c r="A22" s="40" t="n">
        <v>46285</v>
      </c>
      <c r="B22" s="19">
        <f>(SUMIFS(METAS_DIA!$D$2:$D$361,METAS_DIA!$A$2:$A$361,$A22,METAS_DIA!$B$2:$B$361,"MOVIL")+SUMIFS(METAS_DIA!$D$2:$D$361,METAS_DIA!$A$2:$A$361,$A22,METAS_DIA!$B$2:$B$361,"FIJO")+SUMIFS(METAS_DIA!$D$2:$D$361,METAS_DIA!$A$2:$A$361,$A22,METAS_DIA!$B$2:$B$361,"MIXTO"))</f>
        <v/>
      </c>
      <c r="C22" s="19">
        <f>(SUMIFS(DIARIO!$D$2:$D$123,DIARIO!$A$2:$A$123,$A22,DIARIO!$B$2:$B$123,"MOVIL")+SUMIFS(DIARIO!$D$2:$D$123,DIARIO!$A$2:$A$123,$A22,DIARIO!$B$2:$B$123,"FIJO")+SUMIFS(DIARIO!$D$2:$D$123,DIARIO!$A$2:$A$123,$A22,DIARIO!$B$2:$B$123,"MIXTO"))</f>
        <v/>
      </c>
      <c r="D22" s="20">
        <f>IFERROR(C22/B22,0)</f>
        <v/>
      </c>
      <c r="E22" s="21">
        <f>(SUMIFS(METAS_DIA!$E$2:$E$361,METAS_DIA!$A$2:$A$361,$A22,METAS_DIA!$B$2:$B$361,"MOVIL")+SUMIFS(METAS_DIA!$E$2:$E$361,METAS_DIA!$A$2:$A$361,$A22,METAS_DIA!$B$2:$B$361,"FIJO")+SUMIFS(METAS_DIA!$E$2:$E$361,METAS_DIA!$A$2:$A$361,$A22,METAS_DIA!$B$2:$B$361,"MIXTO"))</f>
        <v/>
      </c>
      <c r="F22" s="21">
        <f>(SUMIFS(DIARIO!$E$2:$E$123,DIARIO!$A$2:$A$123,$A22,DIARIO!$B$2:$B$123,"MOVIL")+SUMIFS(DIARIO!$E$2:$E$123,DIARIO!$A$2:$A$123,$A22,DIARIO!$B$2:$B$123,"FIJO")+SUMIFS(DIARIO!$E$2:$E$123,DIARIO!$A$2:$A$123,$A22,DIARIO!$B$2:$B$123,"MIXTO"))</f>
        <v/>
      </c>
      <c r="G22" s="19">
        <f>IFERROR(C22/F22,0)</f>
        <v/>
      </c>
      <c r="H22" s="37">
        <f>(SUMIFS(DIARIO!$F$2:$F$123,DIARIO!$A$2:$A$123,$A22,DIARIO!$B$2:$B$123,"MOVIL")+SUMIFS(DIARIO!$F$2:$F$123,DIARIO!$A$2:$A$123,$A22,DIARIO!$B$2:$B$123,"FIJO")+SUMIFS(DIARIO!$F$2:$F$123,DIARIO!$A$2:$A$123,$A22,DIARIO!$B$2:$B$123,"MIXTO"))</f>
        <v/>
      </c>
      <c r="I22" s="19">
        <f>IFERROR($C22/H22,0)</f>
        <v/>
      </c>
      <c r="J22" s="37">
        <f>(SUMIFS(DIARIO!$G$2:$G$123,DIARIO!$A$2:$A$123,$A22,DIARIO!$B$2:$B$123,"MOVIL")+SUMIFS(DIARIO!$G$2:$G$123,DIARIO!$A$2:$A$123,$A22,DIARIO!$B$2:$B$123,"FIJO")+SUMIFS(DIARIO!$G$2:$G$123,DIARIO!$A$2:$A$123,$A22,DIARIO!$B$2:$B$123,"MIXTO"))</f>
        <v/>
      </c>
      <c r="K22" s="19">
        <f>IFERROR($C22/J22,0)</f>
        <v/>
      </c>
      <c r="L22" s="37">
        <f>(SUMIFS(DIARIO!$H$2:$H$123,DIARIO!$A$2:$A$123,$A22,DIARIO!$B$2:$B$123,"MOVIL")+SUMIFS(DIARIO!$H$2:$H$123,DIARIO!$A$2:$A$123,$A22,DIARIO!$B$2:$B$123,"FIJO")+SUMIFS(DIARIO!$H$2:$H$123,DIARIO!$A$2:$A$123,$A22,DIARIO!$B$2:$B$123,"MIXTO"))</f>
        <v/>
      </c>
      <c r="M22" s="19">
        <f>IFERROR($C22/L22,0)</f>
        <v/>
      </c>
      <c r="N22" s="19">
        <f>SUM($C$3:C22)</f>
        <v/>
      </c>
      <c r="O22" s="19">
        <f>SUM($B$3:B22)</f>
        <v/>
      </c>
      <c r="P22" s="20">
        <f>IFERROR(N22/O22,0)</f>
        <v/>
      </c>
    </row>
    <row r="23">
      <c r="A23" s="40" t="n">
        <v>46286</v>
      </c>
      <c r="B23" s="19">
        <f>(SUMIFS(METAS_DIA!$D$2:$D$361,METAS_DIA!$A$2:$A$361,$A23,METAS_DIA!$B$2:$B$361,"MOVIL")+SUMIFS(METAS_DIA!$D$2:$D$361,METAS_DIA!$A$2:$A$361,$A23,METAS_DIA!$B$2:$B$361,"FIJO")+SUMIFS(METAS_DIA!$D$2:$D$361,METAS_DIA!$A$2:$A$361,$A23,METAS_DIA!$B$2:$B$361,"MIXTO"))</f>
        <v/>
      </c>
      <c r="C23" s="19">
        <f>(SUMIFS(DIARIO!$D$2:$D$123,DIARIO!$A$2:$A$123,$A23,DIARIO!$B$2:$B$123,"MOVIL")+SUMIFS(DIARIO!$D$2:$D$123,DIARIO!$A$2:$A$123,$A23,DIARIO!$B$2:$B$123,"FIJO")+SUMIFS(DIARIO!$D$2:$D$123,DIARIO!$A$2:$A$123,$A23,DIARIO!$B$2:$B$123,"MIXTO"))</f>
        <v/>
      </c>
      <c r="D23" s="20">
        <f>IFERROR(C23/B23,0)</f>
        <v/>
      </c>
      <c r="E23" s="21">
        <f>(SUMIFS(METAS_DIA!$E$2:$E$361,METAS_DIA!$A$2:$A$361,$A23,METAS_DIA!$B$2:$B$361,"MOVIL")+SUMIFS(METAS_DIA!$E$2:$E$361,METAS_DIA!$A$2:$A$361,$A23,METAS_DIA!$B$2:$B$361,"FIJO")+SUMIFS(METAS_DIA!$E$2:$E$361,METAS_DIA!$A$2:$A$361,$A23,METAS_DIA!$B$2:$B$361,"MIXTO"))</f>
        <v/>
      </c>
      <c r="F23" s="21">
        <f>(SUMIFS(DIARIO!$E$2:$E$123,DIARIO!$A$2:$A$123,$A23,DIARIO!$B$2:$B$123,"MOVIL")+SUMIFS(DIARIO!$E$2:$E$123,DIARIO!$A$2:$A$123,$A23,DIARIO!$B$2:$B$123,"FIJO")+SUMIFS(DIARIO!$E$2:$E$123,DIARIO!$A$2:$A$123,$A23,DIARIO!$B$2:$B$123,"MIXTO"))</f>
        <v/>
      </c>
      <c r="G23" s="19">
        <f>IFERROR(C23/F23,0)</f>
        <v/>
      </c>
      <c r="H23" s="37">
        <f>(SUMIFS(DIARIO!$F$2:$F$123,DIARIO!$A$2:$A$123,$A23,DIARIO!$B$2:$B$123,"MOVIL")+SUMIFS(DIARIO!$F$2:$F$123,DIARIO!$A$2:$A$123,$A23,DIARIO!$B$2:$B$123,"FIJO")+SUMIFS(DIARIO!$F$2:$F$123,DIARIO!$A$2:$A$123,$A23,DIARIO!$B$2:$B$123,"MIXTO"))</f>
        <v/>
      </c>
      <c r="I23" s="19">
        <f>IFERROR($C23/H23,0)</f>
        <v/>
      </c>
      <c r="J23" s="37">
        <f>(SUMIFS(DIARIO!$G$2:$G$123,DIARIO!$A$2:$A$123,$A23,DIARIO!$B$2:$B$123,"MOVIL")+SUMIFS(DIARIO!$G$2:$G$123,DIARIO!$A$2:$A$123,$A23,DIARIO!$B$2:$B$123,"FIJO")+SUMIFS(DIARIO!$G$2:$G$123,DIARIO!$A$2:$A$123,$A23,DIARIO!$B$2:$B$123,"MIXTO"))</f>
        <v/>
      </c>
      <c r="K23" s="19">
        <f>IFERROR($C23/J23,0)</f>
        <v/>
      </c>
      <c r="L23" s="37">
        <f>(SUMIFS(DIARIO!$H$2:$H$123,DIARIO!$A$2:$A$123,$A23,DIARIO!$B$2:$B$123,"MOVIL")+SUMIFS(DIARIO!$H$2:$H$123,DIARIO!$A$2:$A$123,$A23,DIARIO!$B$2:$B$123,"FIJO")+SUMIFS(DIARIO!$H$2:$H$123,DIARIO!$A$2:$A$123,$A23,DIARIO!$B$2:$B$123,"MIXTO"))</f>
        <v/>
      </c>
      <c r="M23" s="19">
        <f>IFERROR($C23/L23,0)</f>
        <v/>
      </c>
      <c r="N23" s="19">
        <f>SUM($C$3:C23)</f>
        <v/>
      </c>
      <c r="O23" s="19">
        <f>SUM($B$3:B23)</f>
        <v/>
      </c>
      <c r="P23" s="20">
        <f>IFERROR(N23/O23,0)</f>
        <v/>
      </c>
    </row>
    <row r="24">
      <c r="A24" s="40" t="n">
        <v>46287</v>
      </c>
      <c r="B24" s="19">
        <f>(SUMIFS(METAS_DIA!$D$2:$D$361,METAS_DIA!$A$2:$A$361,$A24,METAS_DIA!$B$2:$B$361,"MOVIL")+SUMIFS(METAS_DIA!$D$2:$D$361,METAS_DIA!$A$2:$A$361,$A24,METAS_DIA!$B$2:$B$361,"FIJO")+SUMIFS(METAS_DIA!$D$2:$D$361,METAS_DIA!$A$2:$A$361,$A24,METAS_DIA!$B$2:$B$361,"MIXTO"))</f>
        <v/>
      </c>
      <c r="C24" s="19">
        <f>(SUMIFS(DIARIO!$D$2:$D$123,DIARIO!$A$2:$A$123,$A24,DIARIO!$B$2:$B$123,"MOVIL")+SUMIFS(DIARIO!$D$2:$D$123,DIARIO!$A$2:$A$123,$A24,DIARIO!$B$2:$B$123,"FIJO")+SUMIFS(DIARIO!$D$2:$D$123,DIARIO!$A$2:$A$123,$A24,DIARIO!$B$2:$B$123,"MIXTO"))</f>
        <v/>
      </c>
      <c r="D24" s="20">
        <f>IFERROR(C24/B24,0)</f>
        <v/>
      </c>
      <c r="E24" s="21">
        <f>(SUMIFS(METAS_DIA!$E$2:$E$361,METAS_DIA!$A$2:$A$361,$A24,METAS_DIA!$B$2:$B$361,"MOVIL")+SUMIFS(METAS_DIA!$E$2:$E$361,METAS_DIA!$A$2:$A$361,$A24,METAS_DIA!$B$2:$B$361,"FIJO")+SUMIFS(METAS_DIA!$E$2:$E$361,METAS_DIA!$A$2:$A$361,$A24,METAS_DIA!$B$2:$B$361,"MIXTO"))</f>
        <v/>
      </c>
      <c r="F24" s="21">
        <f>(SUMIFS(DIARIO!$E$2:$E$123,DIARIO!$A$2:$A$123,$A24,DIARIO!$B$2:$B$123,"MOVIL")+SUMIFS(DIARIO!$E$2:$E$123,DIARIO!$A$2:$A$123,$A24,DIARIO!$B$2:$B$123,"FIJO")+SUMIFS(DIARIO!$E$2:$E$123,DIARIO!$A$2:$A$123,$A24,DIARIO!$B$2:$B$123,"MIXTO"))</f>
        <v/>
      </c>
      <c r="G24" s="19">
        <f>IFERROR(C24/F24,0)</f>
        <v/>
      </c>
      <c r="H24" s="37">
        <f>(SUMIFS(DIARIO!$F$2:$F$123,DIARIO!$A$2:$A$123,$A24,DIARIO!$B$2:$B$123,"MOVIL")+SUMIFS(DIARIO!$F$2:$F$123,DIARIO!$A$2:$A$123,$A24,DIARIO!$B$2:$B$123,"FIJO")+SUMIFS(DIARIO!$F$2:$F$123,DIARIO!$A$2:$A$123,$A24,DIARIO!$B$2:$B$123,"MIXTO"))</f>
        <v/>
      </c>
      <c r="I24" s="19">
        <f>IFERROR($C24/H24,0)</f>
        <v/>
      </c>
      <c r="J24" s="37">
        <f>(SUMIFS(DIARIO!$G$2:$G$123,DIARIO!$A$2:$A$123,$A24,DIARIO!$B$2:$B$123,"MOVIL")+SUMIFS(DIARIO!$G$2:$G$123,DIARIO!$A$2:$A$123,$A24,DIARIO!$B$2:$B$123,"FIJO")+SUMIFS(DIARIO!$G$2:$G$123,DIARIO!$A$2:$A$123,$A24,DIARIO!$B$2:$B$123,"MIXTO"))</f>
        <v/>
      </c>
      <c r="K24" s="19">
        <f>IFERROR($C24/J24,0)</f>
        <v/>
      </c>
      <c r="L24" s="37">
        <f>(SUMIFS(DIARIO!$H$2:$H$123,DIARIO!$A$2:$A$123,$A24,DIARIO!$B$2:$B$123,"MOVIL")+SUMIFS(DIARIO!$H$2:$H$123,DIARIO!$A$2:$A$123,$A24,DIARIO!$B$2:$B$123,"FIJO")+SUMIFS(DIARIO!$H$2:$H$123,DIARIO!$A$2:$A$123,$A24,DIARIO!$B$2:$B$123,"MIXTO"))</f>
        <v/>
      </c>
      <c r="M24" s="19">
        <f>IFERROR($C24/L24,0)</f>
        <v/>
      </c>
      <c r="N24" s="19">
        <f>SUM($C$3:C24)</f>
        <v/>
      </c>
      <c r="O24" s="19">
        <f>SUM($B$3:B24)</f>
        <v/>
      </c>
      <c r="P24" s="20">
        <f>IFERROR(N24/O24,0)</f>
        <v/>
      </c>
    </row>
    <row r="25">
      <c r="A25" s="40" t="n">
        <v>46288</v>
      </c>
      <c r="B25" s="19">
        <f>(SUMIFS(METAS_DIA!$D$2:$D$361,METAS_DIA!$A$2:$A$361,$A25,METAS_DIA!$B$2:$B$361,"MOVIL")+SUMIFS(METAS_DIA!$D$2:$D$361,METAS_DIA!$A$2:$A$361,$A25,METAS_DIA!$B$2:$B$361,"FIJO")+SUMIFS(METAS_DIA!$D$2:$D$361,METAS_DIA!$A$2:$A$361,$A25,METAS_DIA!$B$2:$B$361,"MIXTO"))</f>
        <v/>
      </c>
      <c r="C25" s="19">
        <f>(SUMIFS(DIARIO!$D$2:$D$123,DIARIO!$A$2:$A$123,$A25,DIARIO!$B$2:$B$123,"MOVIL")+SUMIFS(DIARIO!$D$2:$D$123,DIARIO!$A$2:$A$123,$A25,DIARIO!$B$2:$B$123,"FIJO")+SUMIFS(DIARIO!$D$2:$D$123,DIARIO!$A$2:$A$123,$A25,DIARIO!$B$2:$B$123,"MIXTO"))</f>
        <v/>
      </c>
      <c r="D25" s="20">
        <f>IFERROR(C25/B25,0)</f>
        <v/>
      </c>
      <c r="E25" s="21">
        <f>(SUMIFS(METAS_DIA!$E$2:$E$361,METAS_DIA!$A$2:$A$361,$A25,METAS_DIA!$B$2:$B$361,"MOVIL")+SUMIFS(METAS_DIA!$E$2:$E$361,METAS_DIA!$A$2:$A$361,$A25,METAS_DIA!$B$2:$B$361,"FIJO")+SUMIFS(METAS_DIA!$E$2:$E$361,METAS_DIA!$A$2:$A$361,$A25,METAS_DIA!$B$2:$B$361,"MIXTO"))</f>
        <v/>
      </c>
      <c r="F25" s="21">
        <f>(SUMIFS(DIARIO!$E$2:$E$123,DIARIO!$A$2:$A$123,$A25,DIARIO!$B$2:$B$123,"MOVIL")+SUMIFS(DIARIO!$E$2:$E$123,DIARIO!$A$2:$A$123,$A25,DIARIO!$B$2:$B$123,"FIJO")+SUMIFS(DIARIO!$E$2:$E$123,DIARIO!$A$2:$A$123,$A25,DIARIO!$B$2:$B$123,"MIXTO"))</f>
        <v/>
      </c>
      <c r="G25" s="19">
        <f>IFERROR(C25/F25,0)</f>
        <v/>
      </c>
      <c r="H25" s="37">
        <f>(SUMIFS(DIARIO!$F$2:$F$123,DIARIO!$A$2:$A$123,$A25,DIARIO!$B$2:$B$123,"MOVIL")+SUMIFS(DIARIO!$F$2:$F$123,DIARIO!$A$2:$A$123,$A25,DIARIO!$B$2:$B$123,"FIJO")+SUMIFS(DIARIO!$F$2:$F$123,DIARIO!$A$2:$A$123,$A25,DIARIO!$B$2:$B$123,"MIXTO"))</f>
        <v/>
      </c>
      <c r="I25" s="19">
        <f>IFERROR($C25/H25,0)</f>
        <v/>
      </c>
      <c r="J25" s="37">
        <f>(SUMIFS(DIARIO!$G$2:$G$123,DIARIO!$A$2:$A$123,$A25,DIARIO!$B$2:$B$123,"MOVIL")+SUMIFS(DIARIO!$G$2:$G$123,DIARIO!$A$2:$A$123,$A25,DIARIO!$B$2:$B$123,"FIJO")+SUMIFS(DIARIO!$G$2:$G$123,DIARIO!$A$2:$A$123,$A25,DIARIO!$B$2:$B$123,"MIXTO"))</f>
        <v/>
      </c>
      <c r="K25" s="19">
        <f>IFERROR($C25/J25,0)</f>
        <v/>
      </c>
      <c r="L25" s="37">
        <f>(SUMIFS(DIARIO!$H$2:$H$123,DIARIO!$A$2:$A$123,$A25,DIARIO!$B$2:$B$123,"MOVIL")+SUMIFS(DIARIO!$H$2:$H$123,DIARIO!$A$2:$A$123,$A25,DIARIO!$B$2:$B$123,"FIJO")+SUMIFS(DIARIO!$H$2:$H$123,DIARIO!$A$2:$A$123,$A25,DIARIO!$B$2:$B$123,"MIXTO"))</f>
        <v/>
      </c>
      <c r="M25" s="19">
        <f>IFERROR($C25/L25,0)</f>
        <v/>
      </c>
      <c r="N25" s="19">
        <f>SUM($C$3:C25)</f>
        <v/>
      </c>
      <c r="O25" s="19">
        <f>SUM($B$3:B25)</f>
        <v/>
      </c>
      <c r="P25" s="20">
        <f>IFERROR(N25/O25,0)</f>
        <v/>
      </c>
    </row>
    <row r="26">
      <c r="A26" s="40" t="n">
        <v>46289</v>
      </c>
      <c r="B26" s="19">
        <f>(SUMIFS(METAS_DIA!$D$2:$D$361,METAS_DIA!$A$2:$A$361,$A26,METAS_DIA!$B$2:$B$361,"MOVIL")+SUMIFS(METAS_DIA!$D$2:$D$361,METAS_DIA!$A$2:$A$361,$A26,METAS_DIA!$B$2:$B$361,"FIJO")+SUMIFS(METAS_DIA!$D$2:$D$361,METAS_DIA!$A$2:$A$361,$A26,METAS_DIA!$B$2:$B$361,"MIXTO"))</f>
        <v/>
      </c>
      <c r="C26" s="19">
        <f>(SUMIFS(DIARIO!$D$2:$D$123,DIARIO!$A$2:$A$123,$A26,DIARIO!$B$2:$B$123,"MOVIL")+SUMIFS(DIARIO!$D$2:$D$123,DIARIO!$A$2:$A$123,$A26,DIARIO!$B$2:$B$123,"FIJO")+SUMIFS(DIARIO!$D$2:$D$123,DIARIO!$A$2:$A$123,$A26,DIARIO!$B$2:$B$123,"MIXTO"))</f>
        <v/>
      </c>
      <c r="D26" s="20">
        <f>IFERROR(C26/B26,0)</f>
        <v/>
      </c>
      <c r="E26" s="21">
        <f>(SUMIFS(METAS_DIA!$E$2:$E$361,METAS_DIA!$A$2:$A$361,$A26,METAS_DIA!$B$2:$B$361,"MOVIL")+SUMIFS(METAS_DIA!$E$2:$E$361,METAS_DIA!$A$2:$A$361,$A26,METAS_DIA!$B$2:$B$361,"FIJO")+SUMIFS(METAS_DIA!$E$2:$E$361,METAS_DIA!$A$2:$A$361,$A26,METAS_DIA!$B$2:$B$361,"MIXTO"))</f>
        <v/>
      </c>
      <c r="F26" s="21">
        <f>(SUMIFS(DIARIO!$E$2:$E$123,DIARIO!$A$2:$A$123,$A26,DIARIO!$B$2:$B$123,"MOVIL")+SUMIFS(DIARIO!$E$2:$E$123,DIARIO!$A$2:$A$123,$A26,DIARIO!$B$2:$B$123,"FIJO")+SUMIFS(DIARIO!$E$2:$E$123,DIARIO!$A$2:$A$123,$A26,DIARIO!$B$2:$B$123,"MIXTO"))</f>
        <v/>
      </c>
      <c r="G26" s="19">
        <f>IFERROR(C26/F26,0)</f>
        <v/>
      </c>
      <c r="H26" s="37">
        <f>(SUMIFS(DIARIO!$F$2:$F$123,DIARIO!$A$2:$A$123,$A26,DIARIO!$B$2:$B$123,"MOVIL")+SUMIFS(DIARIO!$F$2:$F$123,DIARIO!$A$2:$A$123,$A26,DIARIO!$B$2:$B$123,"FIJO")+SUMIFS(DIARIO!$F$2:$F$123,DIARIO!$A$2:$A$123,$A26,DIARIO!$B$2:$B$123,"MIXTO"))</f>
        <v/>
      </c>
      <c r="I26" s="19">
        <f>IFERROR($C26/H26,0)</f>
        <v/>
      </c>
      <c r="J26" s="37">
        <f>(SUMIFS(DIARIO!$G$2:$G$123,DIARIO!$A$2:$A$123,$A26,DIARIO!$B$2:$B$123,"MOVIL")+SUMIFS(DIARIO!$G$2:$G$123,DIARIO!$A$2:$A$123,$A26,DIARIO!$B$2:$B$123,"FIJO")+SUMIFS(DIARIO!$G$2:$G$123,DIARIO!$A$2:$A$123,$A26,DIARIO!$B$2:$B$123,"MIXTO"))</f>
        <v/>
      </c>
      <c r="K26" s="19">
        <f>IFERROR($C26/J26,0)</f>
        <v/>
      </c>
      <c r="L26" s="37">
        <f>(SUMIFS(DIARIO!$H$2:$H$123,DIARIO!$A$2:$A$123,$A26,DIARIO!$B$2:$B$123,"MOVIL")+SUMIFS(DIARIO!$H$2:$H$123,DIARIO!$A$2:$A$123,$A26,DIARIO!$B$2:$B$123,"FIJO")+SUMIFS(DIARIO!$H$2:$H$123,DIARIO!$A$2:$A$123,$A26,DIARIO!$B$2:$B$123,"MIXTO"))</f>
        <v/>
      </c>
      <c r="M26" s="19">
        <f>IFERROR($C26/L26,0)</f>
        <v/>
      </c>
      <c r="N26" s="19">
        <f>SUM($C$3:C26)</f>
        <v/>
      </c>
      <c r="O26" s="19">
        <f>SUM($B$3:B26)</f>
        <v/>
      </c>
      <c r="P26" s="20">
        <f>IFERROR(N26/O26,0)</f>
        <v/>
      </c>
    </row>
    <row r="27">
      <c r="A27" s="40" t="n">
        <v>46290</v>
      </c>
      <c r="B27" s="19">
        <f>(SUMIFS(METAS_DIA!$D$2:$D$361,METAS_DIA!$A$2:$A$361,$A27,METAS_DIA!$B$2:$B$361,"MOVIL")+SUMIFS(METAS_DIA!$D$2:$D$361,METAS_DIA!$A$2:$A$361,$A27,METAS_DIA!$B$2:$B$361,"FIJO")+SUMIFS(METAS_DIA!$D$2:$D$361,METAS_DIA!$A$2:$A$361,$A27,METAS_DIA!$B$2:$B$361,"MIXTO"))</f>
        <v/>
      </c>
      <c r="C27" s="19">
        <f>(SUMIFS(DIARIO!$D$2:$D$123,DIARIO!$A$2:$A$123,$A27,DIARIO!$B$2:$B$123,"MOVIL")+SUMIFS(DIARIO!$D$2:$D$123,DIARIO!$A$2:$A$123,$A27,DIARIO!$B$2:$B$123,"FIJO")+SUMIFS(DIARIO!$D$2:$D$123,DIARIO!$A$2:$A$123,$A27,DIARIO!$B$2:$B$123,"MIXTO"))</f>
        <v/>
      </c>
      <c r="D27" s="20">
        <f>IFERROR(C27/B27,0)</f>
        <v/>
      </c>
      <c r="E27" s="21">
        <f>(SUMIFS(METAS_DIA!$E$2:$E$361,METAS_DIA!$A$2:$A$361,$A27,METAS_DIA!$B$2:$B$361,"MOVIL")+SUMIFS(METAS_DIA!$E$2:$E$361,METAS_DIA!$A$2:$A$361,$A27,METAS_DIA!$B$2:$B$361,"FIJO")+SUMIFS(METAS_DIA!$E$2:$E$361,METAS_DIA!$A$2:$A$361,$A27,METAS_DIA!$B$2:$B$361,"MIXTO"))</f>
        <v/>
      </c>
      <c r="F27" s="21">
        <f>(SUMIFS(DIARIO!$E$2:$E$123,DIARIO!$A$2:$A$123,$A27,DIARIO!$B$2:$B$123,"MOVIL")+SUMIFS(DIARIO!$E$2:$E$123,DIARIO!$A$2:$A$123,$A27,DIARIO!$B$2:$B$123,"FIJO")+SUMIFS(DIARIO!$E$2:$E$123,DIARIO!$A$2:$A$123,$A27,DIARIO!$B$2:$B$123,"MIXTO"))</f>
        <v/>
      </c>
      <c r="G27" s="19">
        <f>IFERROR(C27/F27,0)</f>
        <v/>
      </c>
      <c r="H27" s="37">
        <f>(SUMIFS(DIARIO!$F$2:$F$123,DIARIO!$A$2:$A$123,$A27,DIARIO!$B$2:$B$123,"MOVIL")+SUMIFS(DIARIO!$F$2:$F$123,DIARIO!$A$2:$A$123,$A27,DIARIO!$B$2:$B$123,"FIJO")+SUMIFS(DIARIO!$F$2:$F$123,DIARIO!$A$2:$A$123,$A27,DIARIO!$B$2:$B$123,"MIXTO"))</f>
        <v/>
      </c>
      <c r="I27" s="19">
        <f>IFERROR($C27/H27,0)</f>
        <v/>
      </c>
      <c r="J27" s="37">
        <f>(SUMIFS(DIARIO!$G$2:$G$123,DIARIO!$A$2:$A$123,$A27,DIARIO!$B$2:$B$123,"MOVIL")+SUMIFS(DIARIO!$G$2:$G$123,DIARIO!$A$2:$A$123,$A27,DIARIO!$B$2:$B$123,"FIJO")+SUMIFS(DIARIO!$G$2:$G$123,DIARIO!$A$2:$A$123,$A27,DIARIO!$B$2:$B$123,"MIXTO"))</f>
        <v/>
      </c>
      <c r="K27" s="19">
        <f>IFERROR($C27/J27,0)</f>
        <v/>
      </c>
      <c r="L27" s="37">
        <f>(SUMIFS(DIARIO!$H$2:$H$123,DIARIO!$A$2:$A$123,$A27,DIARIO!$B$2:$B$123,"MOVIL")+SUMIFS(DIARIO!$H$2:$H$123,DIARIO!$A$2:$A$123,$A27,DIARIO!$B$2:$B$123,"FIJO")+SUMIFS(DIARIO!$H$2:$H$123,DIARIO!$A$2:$A$123,$A27,DIARIO!$B$2:$B$123,"MIXTO"))</f>
        <v/>
      </c>
      <c r="M27" s="19">
        <f>IFERROR($C27/L27,0)</f>
        <v/>
      </c>
      <c r="N27" s="19">
        <f>SUM($C$3:C27)</f>
        <v/>
      </c>
      <c r="O27" s="19">
        <f>SUM($B$3:B27)</f>
        <v/>
      </c>
      <c r="P27" s="20">
        <f>IFERROR(N27/O27,0)</f>
        <v/>
      </c>
    </row>
    <row r="28">
      <c r="A28" s="40" t="n">
        <v>46291</v>
      </c>
      <c r="B28" s="19">
        <f>(SUMIFS(METAS_DIA!$D$2:$D$361,METAS_DIA!$A$2:$A$361,$A28,METAS_DIA!$B$2:$B$361,"MOVIL")+SUMIFS(METAS_DIA!$D$2:$D$361,METAS_DIA!$A$2:$A$361,$A28,METAS_DIA!$B$2:$B$361,"FIJO")+SUMIFS(METAS_DIA!$D$2:$D$361,METAS_DIA!$A$2:$A$361,$A28,METAS_DIA!$B$2:$B$361,"MIXTO"))</f>
        <v/>
      </c>
      <c r="C28" s="19">
        <f>(SUMIFS(DIARIO!$D$2:$D$123,DIARIO!$A$2:$A$123,$A28,DIARIO!$B$2:$B$123,"MOVIL")+SUMIFS(DIARIO!$D$2:$D$123,DIARIO!$A$2:$A$123,$A28,DIARIO!$B$2:$B$123,"FIJO")+SUMIFS(DIARIO!$D$2:$D$123,DIARIO!$A$2:$A$123,$A28,DIARIO!$B$2:$B$123,"MIXTO"))</f>
        <v/>
      </c>
      <c r="D28" s="20">
        <f>IFERROR(C28/B28,0)</f>
        <v/>
      </c>
      <c r="E28" s="21">
        <f>(SUMIFS(METAS_DIA!$E$2:$E$361,METAS_DIA!$A$2:$A$361,$A28,METAS_DIA!$B$2:$B$361,"MOVIL")+SUMIFS(METAS_DIA!$E$2:$E$361,METAS_DIA!$A$2:$A$361,$A28,METAS_DIA!$B$2:$B$361,"FIJO")+SUMIFS(METAS_DIA!$E$2:$E$361,METAS_DIA!$A$2:$A$361,$A28,METAS_DIA!$B$2:$B$361,"MIXTO"))</f>
        <v/>
      </c>
      <c r="F28" s="21">
        <f>(SUMIFS(DIARIO!$E$2:$E$123,DIARIO!$A$2:$A$123,$A28,DIARIO!$B$2:$B$123,"MOVIL")+SUMIFS(DIARIO!$E$2:$E$123,DIARIO!$A$2:$A$123,$A28,DIARIO!$B$2:$B$123,"FIJO")+SUMIFS(DIARIO!$E$2:$E$123,DIARIO!$A$2:$A$123,$A28,DIARIO!$B$2:$B$123,"MIXTO"))</f>
        <v/>
      </c>
      <c r="G28" s="19">
        <f>IFERROR(C28/F28,0)</f>
        <v/>
      </c>
      <c r="H28" s="37">
        <f>(SUMIFS(DIARIO!$F$2:$F$123,DIARIO!$A$2:$A$123,$A28,DIARIO!$B$2:$B$123,"MOVIL")+SUMIFS(DIARIO!$F$2:$F$123,DIARIO!$A$2:$A$123,$A28,DIARIO!$B$2:$B$123,"FIJO")+SUMIFS(DIARIO!$F$2:$F$123,DIARIO!$A$2:$A$123,$A28,DIARIO!$B$2:$B$123,"MIXTO"))</f>
        <v/>
      </c>
      <c r="I28" s="19">
        <f>IFERROR($C28/H28,0)</f>
        <v/>
      </c>
      <c r="J28" s="37">
        <f>(SUMIFS(DIARIO!$G$2:$G$123,DIARIO!$A$2:$A$123,$A28,DIARIO!$B$2:$B$123,"MOVIL")+SUMIFS(DIARIO!$G$2:$G$123,DIARIO!$A$2:$A$123,$A28,DIARIO!$B$2:$B$123,"FIJO")+SUMIFS(DIARIO!$G$2:$G$123,DIARIO!$A$2:$A$123,$A28,DIARIO!$B$2:$B$123,"MIXTO"))</f>
        <v/>
      </c>
      <c r="K28" s="19">
        <f>IFERROR($C28/J28,0)</f>
        <v/>
      </c>
      <c r="L28" s="37">
        <f>(SUMIFS(DIARIO!$H$2:$H$123,DIARIO!$A$2:$A$123,$A28,DIARIO!$B$2:$B$123,"MOVIL")+SUMIFS(DIARIO!$H$2:$H$123,DIARIO!$A$2:$A$123,$A28,DIARIO!$B$2:$B$123,"FIJO")+SUMIFS(DIARIO!$H$2:$H$123,DIARIO!$A$2:$A$123,$A28,DIARIO!$B$2:$B$123,"MIXTO"))</f>
        <v/>
      </c>
      <c r="M28" s="19">
        <f>IFERROR($C28/L28,0)</f>
        <v/>
      </c>
      <c r="N28" s="19">
        <f>SUM($C$3:C28)</f>
        <v/>
      </c>
      <c r="O28" s="19">
        <f>SUM($B$3:B28)</f>
        <v/>
      </c>
      <c r="P28" s="20">
        <f>IFERROR(N28/O28,0)</f>
        <v/>
      </c>
    </row>
    <row r="29">
      <c r="A29" s="40" t="n">
        <v>46292</v>
      </c>
      <c r="B29" s="19">
        <f>(SUMIFS(METAS_DIA!$D$2:$D$361,METAS_DIA!$A$2:$A$361,$A29,METAS_DIA!$B$2:$B$361,"MOVIL")+SUMIFS(METAS_DIA!$D$2:$D$361,METAS_DIA!$A$2:$A$361,$A29,METAS_DIA!$B$2:$B$361,"FIJO")+SUMIFS(METAS_DIA!$D$2:$D$361,METAS_DIA!$A$2:$A$361,$A29,METAS_DIA!$B$2:$B$361,"MIXTO"))</f>
        <v/>
      </c>
      <c r="C29" s="19">
        <f>(SUMIFS(DIARIO!$D$2:$D$123,DIARIO!$A$2:$A$123,$A29,DIARIO!$B$2:$B$123,"MOVIL")+SUMIFS(DIARIO!$D$2:$D$123,DIARIO!$A$2:$A$123,$A29,DIARIO!$B$2:$B$123,"FIJO")+SUMIFS(DIARIO!$D$2:$D$123,DIARIO!$A$2:$A$123,$A29,DIARIO!$B$2:$B$123,"MIXTO"))</f>
        <v/>
      </c>
      <c r="D29" s="20">
        <f>IFERROR(C29/B29,0)</f>
        <v/>
      </c>
      <c r="E29" s="21">
        <f>(SUMIFS(METAS_DIA!$E$2:$E$361,METAS_DIA!$A$2:$A$361,$A29,METAS_DIA!$B$2:$B$361,"MOVIL")+SUMIFS(METAS_DIA!$E$2:$E$361,METAS_DIA!$A$2:$A$361,$A29,METAS_DIA!$B$2:$B$361,"FIJO")+SUMIFS(METAS_DIA!$E$2:$E$361,METAS_DIA!$A$2:$A$361,$A29,METAS_DIA!$B$2:$B$361,"MIXTO"))</f>
        <v/>
      </c>
      <c r="F29" s="21">
        <f>(SUMIFS(DIARIO!$E$2:$E$123,DIARIO!$A$2:$A$123,$A29,DIARIO!$B$2:$B$123,"MOVIL")+SUMIFS(DIARIO!$E$2:$E$123,DIARIO!$A$2:$A$123,$A29,DIARIO!$B$2:$B$123,"FIJO")+SUMIFS(DIARIO!$E$2:$E$123,DIARIO!$A$2:$A$123,$A29,DIARIO!$B$2:$B$123,"MIXTO"))</f>
        <v/>
      </c>
      <c r="G29" s="19">
        <f>IFERROR(C29/F29,0)</f>
        <v/>
      </c>
      <c r="H29" s="37">
        <f>(SUMIFS(DIARIO!$F$2:$F$123,DIARIO!$A$2:$A$123,$A29,DIARIO!$B$2:$B$123,"MOVIL")+SUMIFS(DIARIO!$F$2:$F$123,DIARIO!$A$2:$A$123,$A29,DIARIO!$B$2:$B$123,"FIJO")+SUMIFS(DIARIO!$F$2:$F$123,DIARIO!$A$2:$A$123,$A29,DIARIO!$B$2:$B$123,"MIXTO"))</f>
        <v/>
      </c>
      <c r="I29" s="19">
        <f>IFERROR($C29/H29,0)</f>
        <v/>
      </c>
      <c r="J29" s="37">
        <f>(SUMIFS(DIARIO!$G$2:$G$123,DIARIO!$A$2:$A$123,$A29,DIARIO!$B$2:$B$123,"MOVIL")+SUMIFS(DIARIO!$G$2:$G$123,DIARIO!$A$2:$A$123,$A29,DIARIO!$B$2:$B$123,"FIJO")+SUMIFS(DIARIO!$G$2:$G$123,DIARIO!$A$2:$A$123,$A29,DIARIO!$B$2:$B$123,"MIXTO"))</f>
        <v/>
      </c>
      <c r="K29" s="19">
        <f>IFERROR($C29/J29,0)</f>
        <v/>
      </c>
      <c r="L29" s="37">
        <f>(SUMIFS(DIARIO!$H$2:$H$123,DIARIO!$A$2:$A$123,$A29,DIARIO!$B$2:$B$123,"MOVIL")+SUMIFS(DIARIO!$H$2:$H$123,DIARIO!$A$2:$A$123,$A29,DIARIO!$B$2:$B$123,"FIJO")+SUMIFS(DIARIO!$H$2:$H$123,DIARIO!$A$2:$A$123,$A29,DIARIO!$B$2:$B$123,"MIXTO"))</f>
        <v/>
      </c>
      <c r="M29" s="19">
        <f>IFERROR($C29/L29,0)</f>
        <v/>
      </c>
      <c r="N29" s="19">
        <f>SUM($C$3:C29)</f>
        <v/>
      </c>
      <c r="O29" s="19">
        <f>SUM($B$3:B29)</f>
        <v/>
      </c>
      <c r="P29" s="20">
        <f>IFERROR(N29/O29,0)</f>
        <v/>
      </c>
    </row>
    <row r="30">
      <c r="A30" s="40" t="n">
        <v>46293</v>
      </c>
      <c r="B30" s="19">
        <f>(SUMIFS(METAS_DIA!$D$2:$D$361,METAS_DIA!$A$2:$A$361,$A30,METAS_DIA!$B$2:$B$361,"MOVIL")+SUMIFS(METAS_DIA!$D$2:$D$361,METAS_DIA!$A$2:$A$361,$A30,METAS_DIA!$B$2:$B$361,"FIJO")+SUMIFS(METAS_DIA!$D$2:$D$361,METAS_DIA!$A$2:$A$361,$A30,METAS_DIA!$B$2:$B$361,"MIXTO"))</f>
        <v/>
      </c>
      <c r="C30" s="19">
        <f>(SUMIFS(DIARIO!$D$2:$D$123,DIARIO!$A$2:$A$123,$A30,DIARIO!$B$2:$B$123,"MOVIL")+SUMIFS(DIARIO!$D$2:$D$123,DIARIO!$A$2:$A$123,$A30,DIARIO!$B$2:$B$123,"FIJO")+SUMIFS(DIARIO!$D$2:$D$123,DIARIO!$A$2:$A$123,$A30,DIARIO!$B$2:$B$123,"MIXTO"))</f>
        <v/>
      </c>
      <c r="D30" s="20">
        <f>IFERROR(C30/B30,0)</f>
        <v/>
      </c>
      <c r="E30" s="21">
        <f>(SUMIFS(METAS_DIA!$E$2:$E$361,METAS_DIA!$A$2:$A$361,$A30,METAS_DIA!$B$2:$B$361,"MOVIL")+SUMIFS(METAS_DIA!$E$2:$E$361,METAS_DIA!$A$2:$A$361,$A30,METAS_DIA!$B$2:$B$361,"FIJO")+SUMIFS(METAS_DIA!$E$2:$E$361,METAS_DIA!$A$2:$A$361,$A30,METAS_DIA!$B$2:$B$361,"MIXTO"))</f>
        <v/>
      </c>
      <c r="F30" s="21">
        <f>(SUMIFS(DIARIO!$E$2:$E$123,DIARIO!$A$2:$A$123,$A30,DIARIO!$B$2:$B$123,"MOVIL")+SUMIFS(DIARIO!$E$2:$E$123,DIARIO!$A$2:$A$123,$A30,DIARIO!$B$2:$B$123,"FIJO")+SUMIFS(DIARIO!$E$2:$E$123,DIARIO!$A$2:$A$123,$A30,DIARIO!$B$2:$B$123,"MIXTO"))</f>
        <v/>
      </c>
      <c r="G30" s="19">
        <f>IFERROR(C30/F30,0)</f>
        <v/>
      </c>
      <c r="H30" s="37">
        <f>(SUMIFS(DIARIO!$F$2:$F$123,DIARIO!$A$2:$A$123,$A30,DIARIO!$B$2:$B$123,"MOVIL")+SUMIFS(DIARIO!$F$2:$F$123,DIARIO!$A$2:$A$123,$A30,DIARIO!$B$2:$B$123,"FIJO")+SUMIFS(DIARIO!$F$2:$F$123,DIARIO!$A$2:$A$123,$A30,DIARIO!$B$2:$B$123,"MIXTO"))</f>
        <v/>
      </c>
      <c r="I30" s="19">
        <f>IFERROR($C30/H30,0)</f>
        <v/>
      </c>
      <c r="J30" s="37">
        <f>(SUMIFS(DIARIO!$G$2:$G$123,DIARIO!$A$2:$A$123,$A30,DIARIO!$B$2:$B$123,"MOVIL")+SUMIFS(DIARIO!$G$2:$G$123,DIARIO!$A$2:$A$123,$A30,DIARIO!$B$2:$B$123,"FIJO")+SUMIFS(DIARIO!$G$2:$G$123,DIARIO!$A$2:$A$123,$A30,DIARIO!$B$2:$B$123,"MIXTO"))</f>
        <v/>
      </c>
      <c r="K30" s="19">
        <f>IFERROR($C30/J30,0)</f>
        <v/>
      </c>
      <c r="L30" s="37">
        <f>(SUMIFS(DIARIO!$H$2:$H$123,DIARIO!$A$2:$A$123,$A30,DIARIO!$B$2:$B$123,"MOVIL")+SUMIFS(DIARIO!$H$2:$H$123,DIARIO!$A$2:$A$123,$A30,DIARIO!$B$2:$B$123,"FIJO")+SUMIFS(DIARIO!$H$2:$H$123,DIARIO!$A$2:$A$123,$A30,DIARIO!$B$2:$B$123,"MIXTO"))</f>
        <v/>
      </c>
      <c r="M30" s="19">
        <f>IFERROR($C30/L30,0)</f>
        <v/>
      </c>
      <c r="N30" s="19">
        <f>SUM($C$3:C30)</f>
        <v/>
      </c>
      <c r="O30" s="19">
        <f>SUM($B$3:B30)</f>
        <v/>
      </c>
      <c r="P30" s="20">
        <f>IFERROR(N30/O30,0)</f>
        <v/>
      </c>
    </row>
    <row r="31">
      <c r="A31" s="40" t="n">
        <v>46294</v>
      </c>
      <c r="B31" s="19">
        <f>(SUMIFS(METAS_DIA!$D$2:$D$361,METAS_DIA!$A$2:$A$361,$A31,METAS_DIA!$B$2:$B$361,"MOVIL")+SUMIFS(METAS_DIA!$D$2:$D$361,METAS_DIA!$A$2:$A$361,$A31,METAS_DIA!$B$2:$B$361,"FIJO")+SUMIFS(METAS_DIA!$D$2:$D$361,METAS_DIA!$A$2:$A$361,$A31,METAS_DIA!$B$2:$B$361,"MIXTO"))</f>
        <v/>
      </c>
      <c r="C31" s="19">
        <f>(SUMIFS(DIARIO!$D$2:$D$123,DIARIO!$A$2:$A$123,$A31,DIARIO!$B$2:$B$123,"MOVIL")+SUMIFS(DIARIO!$D$2:$D$123,DIARIO!$A$2:$A$123,$A31,DIARIO!$B$2:$B$123,"FIJO")+SUMIFS(DIARIO!$D$2:$D$123,DIARIO!$A$2:$A$123,$A31,DIARIO!$B$2:$B$123,"MIXTO"))</f>
        <v/>
      </c>
      <c r="D31" s="20">
        <f>IFERROR(C31/B31,0)</f>
        <v/>
      </c>
      <c r="E31" s="21">
        <f>(SUMIFS(METAS_DIA!$E$2:$E$361,METAS_DIA!$A$2:$A$361,$A31,METAS_DIA!$B$2:$B$361,"MOVIL")+SUMIFS(METAS_DIA!$E$2:$E$361,METAS_DIA!$A$2:$A$361,$A31,METAS_DIA!$B$2:$B$361,"FIJO")+SUMIFS(METAS_DIA!$E$2:$E$361,METAS_DIA!$A$2:$A$361,$A31,METAS_DIA!$B$2:$B$361,"MIXTO"))</f>
        <v/>
      </c>
      <c r="F31" s="21">
        <f>(SUMIFS(DIARIO!$E$2:$E$123,DIARIO!$A$2:$A$123,$A31,DIARIO!$B$2:$B$123,"MOVIL")+SUMIFS(DIARIO!$E$2:$E$123,DIARIO!$A$2:$A$123,$A31,DIARIO!$B$2:$B$123,"FIJO")+SUMIFS(DIARIO!$E$2:$E$123,DIARIO!$A$2:$A$123,$A31,DIARIO!$B$2:$B$123,"MIXTO"))</f>
        <v/>
      </c>
      <c r="G31" s="19">
        <f>IFERROR(C31/F31,0)</f>
        <v/>
      </c>
      <c r="H31" s="37">
        <f>(SUMIFS(DIARIO!$F$2:$F$123,DIARIO!$A$2:$A$123,$A31,DIARIO!$B$2:$B$123,"MOVIL")+SUMIFS(DIARIO!$F$2:$F$123,DIARIO!$A$2:$A$123,$A31,DIARIO!$B$2:$B$123,"FIJO")+SUMIFS(DIARIO!$F$2:$F$123,DIARIO!$A$2:$A$123,$A31,DIARIO!$B$2:$B$123,"MIXTO"))</f>
        <v/>
      </c>
      <c r="I31" s="19">
        <f>IFERROR($C31/H31,0)</f>
        <v/>
      </c>
      <c r="J31" s="37">
        <f>(SUMIFS(DIARIO!$G$2:$G$123,DIARIO!$A$2:$A$123,$A31,DIARIO!$B$2:$B$123,"MOVIL")+SUMIFS(DIARIO!$G$2:$G$123,DIARIO!$A$2:$A$123,$A31,DIARIO!$B$2:$B$123,"FIJO")+SUMIFS(DIARIO!$G$2:$G$123,DIARIO!$A$2:$A$123,$A31,DIARIO!$B$2:$B$123,"MIXTO"))</f>
        <v/>
      </c>
      <c r="K31" s="19">
        <f>IFERROR($C31/J31,0)</f>
        <v/>
      </c>
      <c r="L31" s="37">
        <f>(SUMIFS(DIARIO!$H$2:$H$123,DIARIO!$A$2:$A$123,$A31,DIARIO!$B$2:$B$123,"MOVIL")+SUMIFS(DIARIO!$H$2:$H$123,DIARIO!$A$2:$A$123,$A31,DIARIO!$B$2:$B$123,"FIJO")+SUMIFS(DIARIO!$H$2:$H$123,DIARIO!$A$2:$A$123,$A31,DIARIO!$B$2:$B$123,"MIXTO"))</f>
        <v/>
      </c>
      <c r="M31" s="19">
        <f>IFERROR($C31/L31,0)</f>
        <v/>
      </c>
      <c r="N31" s="19">
        <f>SUM($C$3:C31)</f>
        <v/>
      </c>
      <c r="O31" s="19">
        <f>SUM($B$3:B31)</f>
        <v/>
      </c>
      <c r="P31" s="20">
        <f>IFERROR(N31/O31,0)</f>
        <v/>
      </c>
    </row>
    <row r="32">
      <c r="A32" s="40" t="n">
        <v>46295</v>
      </c>
      <c r="B32" s="19">
        <f>(SUMIFS(METAS_DIA!$D$2:$D$361,METAS_DIA!$A$2:$A$361,$A32,METAS_DIA!$B$2:$B$361,"MOVIL")+SUMIFS(METAS_DIA!$D$2:$D$361,METAS_DIA!$A$2:$A$361,$A32,METAS_DIA!$B$2:$B$361,"FIJO")+SUMIFS(METAS_DIA!$D$2:$D$361,METAS_DIA!$A$2:$A$361,$A32,METAS_DIA!$B$2:$B$361,"MIXTO"))</f>
        <v/>
      </c>
      <c r="C32" s="19">
        <f>(SUMIFS(DIARIO!$D$2:$D$123,DIARIO!$A$2:$A$123,$A32,DIARIO!$B$2:$B$123,"MOVIL")+SUMIFS(DIARIO!$D$2:$D$123,DIARIO!$A$2:$A$123,$A32,DIARIO!$B$2:$B$123,"FIJO")+SUMIFS(DIARIO!$D$2:$D$123,DIARIO!$A$2:$A$123,$A32,DIARIO!$B$2:$B$123,"MIXTO"))</f>
        <v/>
      </c>
      <c r="D32" s="20">
        <f>IFERROR(C32/B32,0)</f>
        <v/>
      </c>
      <c r="E32" s="21">
        <f>(SUMIFS(METAS_DIA!$E$2:$E$361,METAS_DIA!$A$2:$A$361,$A32,METAS_DIA!$B$2:$B$361,"MOVIL")+SUMIFS(METAS_DIA!$E$2:$E$361,METAS_DIA!$A$2:$A$361,$A32,METAS_DIA!$B$2:$B$361,"FIJO")+SUMIFS(METAS_DIA!$E$2:$E$361,METAS_DIA!$A$2:$A$361,$A32,METAS_DIA!$B$2:$B$361,"MIXTO"))</f>
        <v/>
      </c>
      <c r="F32" s="21">
        <f>(SUMIFS(DIARIO!$E$2:$E$123,DIARIO!$A$2:$A$123,$A32,DIARIO!$B$2:$B$123,"MOVIL")+SUMIFS(DIARIO!$E$2:$E$123,DIARIO!$A$2:$A$123,$A32,DIARIO!$B$2:$B$123,"FIJO")+SUMIFS(DIARIO!$E$2:$E$123,DIARIO!$A$2:$A$123,$A32,DIARIO!$B$2:$B$123,"MIXTO"))</f>
        <v/>
      </c>
      <c r="G32" s="19">
        <f>IFERROR(C32/F32,0)</f>
        <v/>
      </c>
      <c r="H32" s="37">
        <f>(SUMIFS(DIARIO!$F$2:$F$123,DIARIO!$A$2:$A$123,$A32,DIARIO!$B$2:$B$123,"MOVIL")+SUMIFS(DIARIO!$F$2:$F$123,DIARIO!$A$2:$A$123,$A32,DIARIO!$B$2:$B$123,"FIJO")+SUMIFS(DIARIO!$F$2:$F$123,DIARIO!$A$2:$A$123,$A32,DIARIO!$B$2:$B$123,"MIXTO"))</f>
        <v/>
      </c>
      <c r="I32" s="19">
        <f>IFERROR($C32/H32,0)</f>
        <v/>
      </c>
      <c r="J32" s="37">
        <f>(SUMIFS(DIARIO!$G$2:$G$123,DIARIO!$A$2:$A$123,$A32,DIARIO!$B$2:$B$123,"MOVIL")+SUMIFS(DIARIO!$G$2:$G$123,DIARIO!$A$2:$A$123,$A32,DIARIO!$B$2:$B$123,"FIJO")+SUMIFS(DIARIO!$G$2:$G$123,DIARIO!$A$2:$A$123,$A32,DIARIO!$B$2:$B$123,"MIXTO"))</f>
        <v/>
      </c>
      <c r="K32" s="19">
        <f>IFERROR($C32/J32,0)</f>
        <v/>
      </c>
      <c r="L32" s="37">
        <f>(SUMIFS(DIARIO!$H$2:$H$123,DIARIO!$A$2:$A$123,$A32,DIARIO!$B$2:$B$123,"MOVIL")+SUMIFS(DIARIO!$H$2:$H$123,DIARIO!$A$2:$A$123,$A32,DIARIO!$B$2:$B$123,"FIJO")+SUMIFS(DIARIO!$H$2:$H$123,DIARIO!$A$2:$A$123,$A32,DIARIO!$B$2:$B$123,"MIXTO"))</f>
        <v/>
      </c>
      <c r="M32" s="19">
        <f>IFERROR($C32/L32,0)</f>
        <v/>
      </c>
      <c r="N32" s="19">
        <f>SUM($C$3:C32)</f>
        <v/>
      </c>
      <c r="O32" s="19">
        <f>SUM($B$3:B32)</f>
        <v/>
      </c>
      <c r="P32" s="20">
        <f>IFERROR(N32/O32,0)</f>
        <v/>
      </c>
    </row>
    <row r="33">
      <c r="A33" s="22" t="inlineStr">
        <is>
          <t>TOTAL MES</t>
        </is>
      </c>
      <c r="B33" s="23">
        <f>SUM(B3:B32)</f>
        <v/>
      </c>
      <c r="C33" s="23">
        <f>SUM(C3:C32)</f>
        <v/>
      </c>
      <c r="D33" s="24">
        <f>IFERROR(C33/B33,0)</f>
        <v/>
      </c>
      <c r="E33" s="25">
        <f>SUM(E3:E32)</f>
        <v/>
      </c>
      <c r="F33" s="25">
        <f>SUM(F3:F32)</f>
        <v/>
      </c>
      <c r="G33" s="23">
        <f>IFERROR(C33/F33,0)</f>
        <v/>
      </c>
      <c r="H33" s="38">
        <f>SUM(H3:H32)</f>
        <v/>
      </c>
      <c r="I33" s="23">
        <f>IFERROR($C33/H33,0)</f>
        <v/>
      </c>
      <c r="J33" s="38">
        <f>SUM(J3:J32)</f>
        <v/>
      </c>
      <c r="K33" s="23">
        <f>IFERROR($C33/J33,0)</f>
        <v/>
      </c>
      <c r="L33" s="38">
        <f>SUM(L3:L32)</f>
        <v/>
      </c>
      <c r="M33" s="23">
        <f>IFERROR($C33/L33,0)</f>
        <v/>
      </c>
      <c r="N33" s="22" t="n"/>
      <c r="O33" s="22" t="n"/>
      <c r="P33" s="22" t="n"/>
    </row>
    <row r="34">
      <c r="A34" s="22" t="inlineStr">
        <is>
          <t>PROYECTADO A CIERRE</t>
        </is>
      </c>
      <c r="B34" s="23">
        <f>B33</f>
        <v/>
      </c>
      <c r="C34" s="23">
        <f>C33*PARAMETROS!$B$7</f>
        <v/>
      </c>
      <c r="D34" s="24">
        <f>IFERROR(C34/B34,0)</f>
        <v/>
      </c>
      <c r="E34" s="25">
        <f>E33</f>
        <v/>
      </c>
      <c r="F34" s="25">
        <f>F33*PARAMETROS!$B$7</f>
        <v/>
      </c>
      <c r="G34" s="23">
        <f>IFERROR(C34/F34,0)</f>
        <v/>
      </c>
      <c r="H34" s="38">
        <f>H33*PARAMETROS!$B$7</f>
        <v/>
      </c>
      <c r="I34" s="23">
        <f>IFERROR($C34/H34,0)</f>
        <v/>
      </c>
      <c r="J34" s="38">
        <f>J33*PARAMETROS!$B$7</f>
        <v/>
      </c>
      <c r="K34" s="23">
        <f>IFERROR($C34/J34,0)</f>
        <v/>
      </c>
      <c r="L34" s="38">
        <f>L33*PARAMETROS!$B$7</f>
        <v/>
      </c>
      <c r="M34" s="23">
        <f>IFERROR($C34/L34,0)</f>
        <v/>
      </c>
      <c r="N34" s="22" t="n"/>
      <c r="O34" s="22" t="n"/>
      <c r="P34" s="22" t="n"/>
    </row>
  </sheetData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8" customWidth="1" min="3" max="3"/>
    <col width="42" customWidth="1" min="4" max="4"/>
  </cols>
  <sheetData>
    <row r="1">
      <c r="A1" s="32" t="inlineStr">
        <is>
          <t>CONTROL DE CRUCE REAL vs PPTO</t>
        </is>
      </c>
    </row>
    <row r="2">
      <c r="A2" s="33" t="inlineStr">
        <is>
          <t>Revisa esta hoja cada mes. Si aparece algo, es que cambio el nombre de un canal o que falta cargarlo en el PPTo.</t>
        </is>
      </c>
    </row>
    <row r="4">
      <c r="A4" s="34" t="inlineStr">
        <is>
          <t>BLOQUE</t>
        </is>
      </c>
      <c r="B4" s="34" t="inlineStr">
        <is>
          <t>CANAL 2</t>
        </is>
      </c>
      <c r="C4" s="34" t="inlineStr">
        <is>
          <t>SITUACION</t>
        </is>
      </c>
      <c r="D4" s="34" t="inlineStr">
        <is>
          <t>ACCION SUGERIDA</t>
        </is>
      </c>
    </row>
    <row r="5">
      <c r="A5" s="41" t="inlineStr">
        <is>
          <t>FIJO</t>
        </is>
      </c>
      <c r="B5" s="41" t="inlineStr">
        <is>
          <t>*Sin Clasificar*</t>
        </is>
      </c>
      <c r="C5" s="41" t="inlineStr">
        <is>
          <t>Tiene inversion real pero no tiene meta en el PPTo</t>
        </is>
      </c>
      <c r="D5" s="41" t="inlineStr">
        <is>
          <t>Cargar la meta o confirmar que no lleva</t>
        </is>
      </c>
    </row>
    <row r="6">
      <c r="A6" s="41" t="inlineStr">
        <is>
          <t>FIJO</t>
        </is>
      </c>
      <c r="B6" s="41" t="inlineStr">
        <is>
          <t>Afiliados</t>
        </is>
      </c>
      <c r="C6" s="41" t="inlineStr">
        <is>
          <t>Tiene inversion real pero no tiene meta en el PPTo</t>
        </is>
      </c>
      <c r="D6" s="41" t="inlineStr">
        <is>
          <t>Cargar la meta o confirmar que no lleva</t>
        </is>
      </c>
    </row>
    <row r="7">
      <c r="A7" s="41" t="inlineStr">
        <is>
          <t>FIJO</t>
        </is>
      </c>
      <c r="B7" s="41" t="inlineStr">
        <is>
          <t>TikTok</t>
        </is>
      </c>
      <c r="C7" s="41" t="inlineStr">
        <is>
          <t>Tiene inversion real pero no tiene meta en el PPTo</t>
        </is>
      </c>
      <c r="D7" s="41" t="inlineStr">
        <is>
          <t>Cargar la meta o confirmar que no lleva</t>
        </is>
      </c>
    </row>
    <row r="8">
      <c r="A8" s="41" t="inlineStr">
        <is>
          <t>MOVIL</t>
        </is>
      </c>
      <c r="B8" s="41" t="inlineStr">
        <is>
          <t>Afiliados</t>
        </is>
      </c>
      <c r="C8" s="41" t="inlineStr">
        <is>
          <t>Tiene inversion real pero no tiene meta en el PPTo</t>
        </is>
      </c>
      <c r="D8" s="41" t="inlineStr">
        <is>
          <t>Cargar la meta o confirmar que no lleva</t>
        </is>
      </c>
    </row>
    <row r="9">
      <c r="A9" s="41" t="inlineStr">
        <is>
          <t>MOVIL</t>
        </is>
      </c>
      <c r="B9" s="41" t="inlineStr">
        <is>
          <t>TikTok</t>
        </is>
      </c>
      <c r="C9" s="41" t="inlineStr">
        <is>
          <t>Tiene inversion real pero no tiene meta en el PPTo</t>
        </is>
      </c>
      <c r="D9" s="41" t="inlineStr">
        <is>
          <t>Cargar la meta o confirmar que no lleva</t>
        </is>
      </c>
    </row>
    <row r="10">
      <c r="A10" s="42" t="inlineStr">
        <is>
          <t>MOVIL</t>
        </is>
      </c>
      <c r="B10" s="42" t="inlineStr">
        <is>
          <t>Display</t>
        </is>
      </c>
      <c r="C10" s="42" t="inlineStr">
        <is>
          <t>Tiene meta pero todavia no registra inversion</t>
        </is>
      </c>
      <c r="D10" s="42" t="inlineStr">
        <is>
          <t>Verificar si la campana ya arranco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8" customWidth="1" min="3" max="3"/>
  </cols>
  <sheetData>
    <row r="1">
      <c r="A1" s="32" t="inlineStr">
        <is>
          <t>PARAMETROS DEL TRACKING</t>
        </is>
      </c>
    </row>
    <row r="3">
      <c r="A3" s="43" t="inlineStr">
        <is>
          <t>Mes reportado</t>
        </is>
      </c>
      <c r="B3" s="44" t="inlineStr">
        <is>
          <t>2026-09</t>
        </is>
      </c>
    </row>
    <row r="4">
      <c r="A4" s="43" t="inlineStr">
        <is>
          <t>Area</t>
        </is>
      </c>
      <c r="B4" s="44" t="inlineStr">
        <is>
          <t>CANAL ONLINE</t>
        </is>
      </c>
    </row>
    <row r="5">
      <c r="A5" s="43" t="inlineStr">
        <is>
          <t>Dias con informacion</t>
        </is>
      </c>
      <c r="B5" s="45" t="n">
        <v>8</v>
      </c>
      <c r="C5" s="33" t="inlineStr">
        <is>
          <t>Bajalo si el ultimo dia viene incompleto</t>
        </is>
      </c>
    </row>
    <row r="6">
      <c r="A6" s="43" t="inlineStr">
        <is>
          <t>Dias del mes</t>
        </is>
      </c>
      <c r="B6" s="45" t="n">
        <v>30</v>
      </c>
    </row>
    <row r="7">
      <c r="A7" s="43" t="inlineStr">
        <is>
          <t>Factor de proyeccion</t>
        </is>
      </c>
      <c r="B7" s="46">
        <f>B6/B5</f>
        <v/>
      </c>
      <c r="C7" s="33" t="inlineStr">
        <is>
          <t>Real acumulado x este factor = proyectado a cierre</t>
        </is>
      </c>
    </row>
    <row r="8">
      <c r="A8" s="43" t="inlineStr">
        <is>
          <t>% de MIXTO asignado a Movil y a Fijo</t>
        </is>
      </c>
      <c r="B8" s="45" t="n">
        <v>0.5</v>
      </c>
    </row>
    <row r="9">
      <c r="A9" s="43" t="inlineStr">
        <is>
          <t>Ultima fecha con datos reales</t>
        </is>
      </c>
      <c r="B9" s="47" t="n">
        <v>46273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6" customWidth="1" min="4" max="4"/>
    <col width="10" customWidth="1" min="5" max="5"/>
    <col width="11" customWidth="1" min="6" max="6"/>
    <col width="11" customWidth="1" min="7" max="7"/>
    <col width="11" customWidth="1" min="8" max="8"/>
  </cols>
  <sheetData>
    <row r="1">
      <c r="A1" s="34" t="inlineStr">
        <is>
          <t>FECHA</t>
        </is>
      </c>
      <c r="B1" s="34" t="inlineStr">
        <is>
          <t>BLOQUE</t>
        </is>
      </c>
      <c r="C1" s="34" t="inlineStr">
        <is>
          <t>CANAL 2</t>
        </is>
      </c>
      <c r="D1" s="34" t="inlineStr">
        <is>
          <t>COSTO</t>
        </is>
      </c>
      <c r="E1" s="34" t="inlineStr">
        <is>
          <t>LEADS</t>
        </is>
      </c>
      <c r="F1" s="34" t="inlineStr">
        <is>
          <t>Q NETO</t>
        </is>
      </c>
      <c r="G1" s="34" t="inlineStr">
        <is>
          <t>Q EMI</t>
        </is>
      </c>
      <c r="H1" s="34" t="inlineStr">
        <is>
          <t>Q TER</t>
        </is>
      </c>
    </row>
    <row r="2">
      <c r="A2" s="48" t="n">
        <v>46266</v>
      </c>
      <c r="B2" s="49" t="inlineStr">
        <is>
          <t>FIJO</t>
        </is>
      </c>
      <c r="C2" s="49" t="inlineStr">
        <is>
          <t>*Sin Clasificar*</t>
        </is>
      </c>
      <c r="D2" s="19" t="n">
        <v>0</v>
      </c>
      <c r="E2" s="21" t="n">
        <v>0</v>
      </c>
      <c r="F2" s="37" t="n">
        <v>3</v>
      </c>
      <c r="G2" s="37" t="n">
        <v>0</v>
      </c>
      <c r="H2" s="37" t="n">
        <v>0</v>
      </c>
    </row>
    <row r="3">
      <c r="A3" s="48" t="n">
        <v>46266</v>
      </c>
      <c r="B3" s="49" t="inlineStr">
        <is>
          <t>FIJO</t>
        </is>
      </c>
      <c r="C3" s="49" t="inlineStr">
        <is>
          <t>Afiliados</t>
        </is>
      </c>
      <c r="D3" s="19" t="n">
        <v>0</v>
      </c>
      <c r="E3" s="21" t="n">
        <v>0</v>
      </c>
      <c r="F3" s="37" t="n">
        <v>99</v>
      </c>
      <c r="G3" s="37" t="n">
        <v>63</v>
      </c>
      <c r="H3" s="37" t="n">
        <v>28</v>
      </c>
    </row>
    <row r="4">
      <c r="A4" s="48" t="n">
        <v>46266</v>
      </c>
      <c r="B4" s="49" t="inlineStr">
        <is>
          <t>FIJO</t>
        </is>
      </c>
      <c r="C4" s="49" t="inlineStr">
        <is>
          <t>Bing</t>
        </is>
      </c>
      <c r="D4" s="19" t="n">
        <v>221447.6334</v>
      </c>
      <c r="E4" s="21" t="n">
        <v>31</v>
      </c>
      <c r="F4" s="37" t="n">
        <v>4</v>
      </c>
      <c r="G4" s="37" t="n">
        <v>6</v>
      </c>
      <c r="H4" s="37" t="n">
        <v>7</v>
      </c>
    </row>
    <row r="5">
      <c r="A5" s="48" t="n">
        <v>46266</v>
      </c>
      <c r="B5" s="49" t="inlineStr">
        <is>
          <t>FIJO</t>
        </is>
      </c>
      <c r="C5" s="49" t="inlineStr">
        <is>
          <t>Meta</t>
        </is>
      </c>
      <c r="D5" s="19" t="n">
        <v>1038708.3609</v>
      </c>
      <c r="E5" s="21" t="n">
        <v>122</v>
      </c>
      <c r="F5" s="37" t="n">
        <v>45</v>
      </c>
      <c r="G5" s="37" t="n">
        <v>31</v>
      </c>
      <c r="H5" s="37" t="n">
        <v>24</v>
      </c>
    </row>
    <row r="6">
      <c r="A6" s="48" t="n">
        <v>46266</v>
      </c>
      <c r="B6" s="49" t="inlineStr">
        <is>
          <t>FIJO</t>
        </is>
      </c>
      <c r="C6" s="49" t="inlineStr">
        <is>
          <t>Pmax</t>
        </is>
      </c>
      <c r="D6" s="19" t="n">
        <v>2312273.09</v>
      </c>
      <c r="E6" s="21" t="n">
        <v>111</v>
      </c>
      <c r="F6" s="37" t="n">
        <v>97</v>
      </c>
      <c r="G6" s="37" t="n">
        <v>87</v>
      </c>
      <c r="H6" s="37" t="n">
        <v>22</v>
      </c>
    </row>
    <row r="7">
      <c r="A7" s="48" t="n">
        <v>46266</v>
      </c>
      <c r="B7" s="49" t="inlineStr">
        <is>
          <t>FIJO</t>
        </is>
      </c>
      <c r="C7" s="49" t="inlineStr">
        <is>
          <t>Search</t>
        </is>
      </c>
      <c r="D7" s="19" t="n">
        <v>11648697.42</v>
      </c>
      <c r="E7" s="21" t="n">
        <v>209</v>
      </c>
      <c r="F7" s="37" t="n">
        <v>174</v>
      </c>
      <c r="G7" s="37" t="n">
        <v>146</v>
      </c>
      <c r="H7" s="37" t="n">
        <v>150</v>
      </c>
    </row>
    <row r="8">
      <c r="A8" s="48" t="n">
        <v>46266</v>
      </c>
      <c r="B8" s="49" t="inlineStr">
        <is>
          <t>FIJO</t>
        </is>
      </c>
      <c r="C8" s="49" t="inlineStr">
        <is>
          <t>TikTok</t>
        </is>
      </c>
      <c r="D8" s="19" t="n">
        <v>0</v>
      </c>
      <c r="E8" s="21" t="n">
        <v>0</v>
      </c>
      <c r="F8" s="37" t="n">
        <v>6</v>
      </c>
      <c r="G8" s="37" t="n">
        <v>0</v>
      </c>
      <c r="H8" s="37" t="n">
        <v>0</v>
      </c>
    </row>
    <row r="9">
      <c r="A9" s="48" t="n">
        <v>46266</v>
      </c>
      <c r="B9" s="49" t="inlineStr">
        <is>
          <t>MIXTO</t>
        </is>
      </c>
      <c r="C9" s="49" t="inlineStr">
        <is>
          <t>Bing Mixto</t>
        </is>
      </c>
      <c r="D9" s="19" t="n">
        <v>75281.60430000001</v>
      </c>
      <c r="E9" s="21" t="n">
        <v>57</v>
      </c>
      <c r="F9" s="37" t="n">
        <v>19</v>
      </c>
      <c r="G9" s="37" t="n">
        <v>10</v>
      </c>
      <c r="H9" s="37" t="n">
        <v>2</v>
      </c>
    </row>
    <row r="10">
      <c r="A10" s="48" t="n">
        <v>46266</v>
      </c>
      <c r="B10" s="49" t="inlineStr">
        <is>
          <t>MIXTO</t>
        </is>
      </c>
      <c r="C10" s="49" t="inlineStr">
        <is>
          <t>Pmax Mixto</t>
        </is>
      </c>
      <c r="D10" s="19" t="n">
        <v>0</v>
      </c>
      <c r="E10" s="21" t="n">
        <v>0</v>
      </c>
      <c r="F10" s="37" t="n">
        <v>1</v>
      </c>
      <c r="G10" s="37" t="n">
        <v>0</v>
      </c>
      <c r="H10" s="37" t="n">
        <v>12</v>
      </c>
    </row>
    <row r="11">
      <c r="A11" s="48" t="n">
        <v>46266</v>
      </c>
      <c r="B11" s="49" t="inlineStr">
        <is>
          <t>MIXTO</t>
        </is>
      </c>
      <c r="C11" s="49" t="inlineStr">
        <is>
          <t>Search Mixto</t>
        </is>
      </c>
      <c r="D11" s="19" t="n">
        <v>0</v>
      </c>
      <c r="E11" s="21" t="n">
        <v>0</v>
      </c>
      <c r="F11" s="37" t="n">
        <v>10</v>
      </c>
      <c r="G11" s="37" t="n">
        <v>30</v>
      </c>
      <c r="H11" s="37" t="n">
        <v>123</v>
      </c>
    </row>
    <row r="12">
      <c r="A12" s="48" t="n">
        <v>46266</v>
      </c>
      <c r="B12" s="49" t="inlineStr">
        <is>
          <t>MOVIL</t>
        </is>
      </c>
      <c r="C12" s="49" t="inlineStr">
        <is>
          <t>Afiliados</t>
        </is>
      </c>
      <c r="D12" s="19" t="n">
        <v>0</v>
      </c>
      <c r="E12" s="21" t="n">
        <v>0</v>
      </c>
      <c r="F12" s="37" t="n">
        <v>77</v>
      </c>
      <c r="G12" s="37" t="n">
        <v>36</v>
      </c>
      <c r="H12" s="37" t="n">
        <v>24</v>
      </c>
    </row>
    <row r="13">
      <c r="A13" s="48" t="n">
        <v>46266</v>
      </c>
      <c r="B13" s="49" t="inlineStr">
        <is>
          <t>MOVIL</t>
        </is>
      </c>
      <c r="C13" s="49" t="inlineStr">
        <is>
          <t>Bing</t>
        </is>
      </c>
      <c r="D13" s="19" t="n">
        <v>34628.9706</v>
      </c>
      <c r="E13" s="21" t="n">
        <v>5</v>
      </c>
      <c r="F13" s="37" t="n">
        <v>4</v>
      </c>
      <c r="G13" s="37" t="n">
        <v>3</v>
      </c>
      <c r="H13" s="37" t="n">
        <v>3</v>
      </c>
    </row>
    <row r="14">
      <c r="A14" s="48" t="n">
        <v>46266</v>
      </c>
      <c r="B14" s="49" t="inlineStr">
        <is>
          <t>MOVIL</t>
        </is>
      </c>
      <c r="C14" s="49" t="inlineStr">
        <is>
          <t>Meta</t>
        </is>
      </c>
      <c r="D14" s="19" t="n">
        <v>685487.187</v>
      </c>
      <c r="E14" s="21" t="n">
        <v>90</v>
      </c>
      <c r="F14" s="37" t="n">
        <v>61</v>
      </c>
      <c r="G14" s="37" t="n">
        <v>5</v>
      </c>
      <c r="H14" s="37" t="n">
        <v>19</v>
      </c>
    </row>
    <row r="15">
      <c r="A15" s="48" t="n">
        <v>46266</v>
      </c>
      <c r="B15" s="49" t="inlineStr">
        <is>
          <t>MOVIL</t>
        </is>
      </c>
      <c r="C15" s="49" t="inlineStr">
        <is>
          <t>Pmax</t>
        </is>
      </c>
      <c r="D15" s="19" t="n">
        <v>0</v>
      </c>
      <c r="E15" s="21" t="n">
        <v>0</v>
      </c>
      <c r="F15" s="37" t="n">
        <v>0</v>
      </c>
      <c r="G15" s="37" t="n">
        <v>2</v>
      </c>
      <c r="H15" s="37" t="n">
        <v>9</v>
      </c>
    </row>
    <row r="16">
      <c r="A16" s="48" t="n">
        <v>46266</v>
      </c>
      <c r="B16" s="49" t="inlineStr">
        <is>
          <t>MOVIL</t>
        </is>
      </c>
      <c r="C16" s="49" t="inlineStr">
        <is>
          <t>Search</t>
        </is>
      </c>
      <c r="D16" s="19" t="n">
        <v>8973731.33</v>
      </c>
      <c r="E16" s="21" t="n">
        <v>450</v>
      </c>
      <c r="F16" s="37" t="n">
        <v>379</v>
      </c>
      <c r="G16" s="37" t="n">
        <v>164</v>
      </c>
      <c r="H16" s="37" t="n">
        <v>131</v>
      </c>
    </row>
    <row r="17">
      <c r="A17" s="48" t="n">
        <v>46266</v>
      </c>
      <c r="B17" s="49" t="inlineStr">
        <is>
          <t>MOVIL</t>
        </is>
      </c>
      <c r="C17" s="49" t="inlineStr">
        <is>
          <t>TikTok</t>
        </is>
      </c>
      <c r="D17" s="19" t="n">
        <v>0</v>
      </c>
      <c r="E17" s="21" t="n">
        <v>0</v>
      </c>
      <c r="F17" s="37" t="n">
        <v>12</v>
      </c>
      <c r="G17" s="37" t="n">
        <v>2</v>
      </c>
      <c r="H17" s="37" t="n">
        <v>0</v>
      </c>
    </row>
    <row r="18">
      <c r="A18" s="48" t="n">
        <v>46267</v>
      </c>
      <c r="B18" s="49" t="inlineStr">
        <is>
          <t>FIJO</t>
        </is>
      </c>
      <c r="C18" s="49" t="inlineStr">
        <is>
          <t>*Sin Clasificar*</t>
        </is>
      </c>
      <c r="D18" s="19" t="n">
        <v>0</v>
      </c>
      <c r="E18" s="21" t="n">
        <v>0</v>
      </c>
      <c r="F18" s="37" t="n">
        <v>1</v>
      </c>
      <c r="G18" s="37" t="n">
        <v>0</v>
      </c>
      <c r="H18" s="37" t="n">
        <v>0</v>
      </c>
    </row>
    <row r="19">
      <c r="A19" s="48" t="n">
        <v>46267</v>
      </c>
      <c r="B19" s="49" t="inlineStr">
        <is>
          <t>FIJO</t>
        </is>
      </c>
      <c r="C19" s="49" t="inlineStr">
        <is>
          <t>Afiliados</t>
        </is>
      </c>
      <c r="D19" s="19" t="n">
        <v>0</v>
      </c>
      <c r="E19" s="21" t="n">
        <v>0</v>
      </c>
      <c r="F19" s="37" t="n">
        <v>54</v>
      </c>
      <c r="G19" s="37" t="n">
        <v>41</v>
      </c>
      <c r="H19" s="37" t="n">
        <v>36</v>
      </c>
    </row>
    <row r="20">
      <c r="A20" s="48" t="n">
        <v>46267</v>
      </c>
      <c r="B20" s="49" t="inlineStr">
        <is>
          <t>FIJO</t>
        </is>
      </c>
      <c r="C20" s="49" t="inlineStr">
        <is>
          <t>Bing</t>
        </is>
      </c>
      <c r="D20" s="19" t="n">
        <v>194771.4111</v>
      </c>
      <c r="E20" s="21" t="n">
        <v>39</v>
      </c>
      <c r="F20" s="37" t="n">
        <v>10</v>
      </c>
      <c r="G20" s="37" t="n">
        <v>5</v>
      </c>
      <c r="H20" s="37" t="n">
        <v>3</v>
      </c>
    </row>
    <row r="21">
      <c r="A21" s="48" t="n">
        <v>46267</v>
      </c>
      <c r="B21" s="49" t="inlineStr">
        <is>
          <t>FIJO</t>
        </is>
      </c>
      <c r="C21" s="49" t="inlineStr">
        <is>
          <t>Meta</t>
        </is>
      </c>
      <c r="D21" s="19" t="n">
        <v>840315.1869</v>
      </c>
      <c r="E21" s="21" t="n">
        <v>99</v>
      </c>
      <c r="F21" s="37" t="n">
        <v>36</v>
      </c>
      <c r="G21" s="37" t="n">
        <v>14</v>
      </c>
      <c r="H21" s="37" t="n">
        <v>24</v>
      </c>
    </row>
    <row r="22">
      <c r="A22" s="48" t="n">
        <v>46267</v>
      </c>
      <c r="B22" s="49" t="inlineStr">
        <is>
          <t>FIJO</t>
        </is>
      </c>
      <c r="C22" s="49" t="inlineStr">
        <is>
          <t>Pmax</t>
        </is>
      </c>
      <c r="D22" s="19" t="n">
        <v>1615533.91</v>
      </c>
      <c r="E22" s="21" t="n">
        <v>57</v>
      </c>
      <c r="F22" s="37" t="n">
        <v>46</v>
      </c>
      <c r="G22" s="37" t="n">
        <v>43</v>
      </c>
      <c r="H22" s="37" t="n">
        <v>25</v>
      </c>
    </row>
    <row r="23">
      <c r="A23" s="48" t="n">
        <v>46267</v>
      </c>
      <c r="B23" s="49" t="inlineStr">
        <is>
          <t>FIJO</t>
        </is>
      </c>
      <c r="C23" s="49" t="inlineStr">
        <is>
          <t>Search</t>
        </is>
      </c>
      <c r="D23" s="19" t="n">
        <v>7882966.24</v>
      </c>
      <c r="E23" s="21" t="n">
        <v>236</v>
      </c>
      <c r="F23" s="37" t="n">
        <v>188</v>
      </c>
      <c r="G23" s="37" t="n">
        <v>156</v>
      </c>
      <c r="H23" s="37" t="n">
        <v>135</v>
      </c>
    </row>
    <row r="24">
      <c r="A24" s="48" t="n">
        <v>46267</v>
      </c>
      <c r="B24" s="49" t="inlineStr">
        <is>
          <t>FIJO</t>
        </is>
      </c>
      <c r="C24" s="49" t="inlineStr">
        <is>
          <t>TikTok</t>
        </is>
      </c>
      <c r="D24" s="19" t="n">
        <v>0</v>
      </c>
      <c r="E24" s="21" t="n">
        <v>0</v>
      </c>
      <c r="F24" s="37" t="n">
        <v>1</v>
      </c>
      <c r="G24" s="37" t="n">
        <v>0</v>
      </c>
      <c r="H24" s="37" t="n">
        <v>0</v>
      </c>
    </row>
    <row r="25">
      <c r="A25" s="48" t="n">
        <v>46267</v>
      </c>
      <c r="B25" s="49" t="inlineStr">
        <is>
          <t>MIXTO</t>
        </is>
      </c>
      <c r="C25" s="49" t="inlineStr">
        <is>
          <t>Bing Mixto</t>
        </is>
      </c>
      <c r="D25" s="19" t="n">
        <v>74118.4794</v>
      </c>
      <c r="E25" s="21" t="n">
        <v>37</v>
      </c>
      <c r="F25" s="37" t="n">
        <v>15</v>
      </c>
      <c r="G25" s="37" t="n">
        <v>5</v>
      </c>
      <c r="H25" s="37" t="n">
        <v>4</v>
      </c>
    </row>
    <row r="26">
      <c r="A26" s="48" t="n">
        <v>46267</v>
      </c>
      <c r="B26" s="49" t="inlineStr">
        <is>
          <t>MIXTO</t>
        </is>
      </c>
      <c r="C26" s="49" t="inlineStr">
        <is>
          <t>Pmax Mixto</t>
        </is>
      </c>
      <c r="D26" s="19" t="n">
        <v>1415543.04</v>
      </c>
      <c r="E26" s="21" t="n">
        <v>76</v>
      </c>
      <c r="F26" s="37" t="n">
        <v>62</v>
      </c>
      <c r="G26" s="37" t="n">
        <v>26</v>
      </c>
      <c r="H26" s="37" t="n">
        <v>6</v>
      </c>
    </row>
    <row r="27">
      <c r="A27" s="48" t="n">
        <v>46267</v>
      </c>
      <c r="B27" s="49" t="inlineStr">
        <is>
          <t>MIXTO</t>
        </is>
      </c>
      <c r="C27" s="49" t="inlineStr">
        <is>
          <t>Search Mixto</t>
        </is>
      </c>
      <c r="D27" s="19" t="n">
        <v>2502362.44</v>
      </c>
      <c r="E27" s="21" t="n">
        <v>349</v>
      </c>
      <c r="F27" s="37" t="n">
        <v>267</v>
      </c>
      <c r="G27" s="37" t="n">
        <v>110</v>
      </c>
      <c r="H27" s="37" t="n">
        <v>97</v>
      </c>
    </row>
    <row r="28">
      <c r="A28" s="48" t="n">
        <v>46267</v>
      </c>
      <c r="B28" s="49" t="inlineStr">
        <is>
          <t>MOVIL</t>
        </is>
      </c>
      <c r="C28" s="49" t="inlineStr">
        <is>
          <t>Afiliados</t>
        </is>
      </c>
      <c r="D28" s="19" t="n">
        <v>0</v>
      </c>
      <c r="E28" s="21" t="n">
        <v>0</v>
      </c>
      <c r="F28" s="37" t="n">
        <v>78</v>
      </c>
      <c r="G28" s="37" t="n">
        <v>48</v>
      </c>
      <c r="H28" s="37" t="n">
        <v>29</v>
      </c>
    </row>
    <row r="29">
      <c r="A29" s="48" t="n">
        <v>46267</v>
      </c>
      <c r="B29" s="49" t="inlineStr">
        <is>
          <t>MOVIL</t>
        </is>
      </c>
      <c r="C29" s="49" t="inlineStr">
        <is>
          <t>Bing</t>
        </is>
      </c>
      <c r="D29" s="19" t="n">
        <v>62269.7355</v>
      </c>
      <c r="E29" s="21" t="n">
        <v>2</v>
      </c>
      <c r="F29" s="37" t="n">
        <v>3</v>
      </c>
      <c r="G29" s="37" t="n">
        <v>2</v>
      </c>
      <c r="H29" s="37" t="n">
        <v>2</v>
      </c>
    </row>
    <row r="30">
      <c r="A30" s="48" t="n">
        <v>46267</v>
      </c>
      <c r="B30" s="49" t="inlineStr">
        <is>
          <t>MOVIL</t>
        </is>
      </c>
      <c r="C30" s="49" t="inlineStr">
        <is>
          <t>Meta</t>
        </is>
      </c>
      <c r="D30" s="19" t="n">
        <v>861298.7165999999</v>
      </c>
      <c r="E30" s="21" t="n">
        <v>133</v>
      </c>
      <c r="F30" s="37" t="n">
        <v>90</v>
      </c>
      <c r="G30" s="37" t="n">
        <v>21</v>
      </c>
      <c r="H30" s="37" t="n">
        <v>14</v>
      </c>
    </row>
    <row r="31">
      <c r="A31" s="48" t="n">
        <v>46267</v>
      </c>
      <c r="B31" s="49" t="inlineStr">
        <is>
          <t>MOVIL</t>
        </is>
      </c>
      <c r="C31" s="49" t="inlineStr">
        <is>
          <t>Pmax</t>
        </is>
      </c>
      <c r="D31" s="19" t="n">
        <v>501549.43</v>
      </c>
      <c r="E31" s="21" t="n">
        <v>41</v>
      </c>
      <c r="F31" s="37" t="n">
        <v>29</v>
      </c>
      <c r="G31" s="37" t="n">
        <v>6</v>
      </c>
      <c r="H31" s="37" t="n">
        <v>8</v>
      </c>
    </row>
    <row r="32">
      <c r="A32" s="48" t="n">
        <v>46267</v>
      </c>
      <c r="B32" s="49" t="inlineStr">
        <is>
          <t>MOVIL</t>
        </is>
      </c>
      <c r="C32" s="49" t="inlineStr">
        <is>
          <t>Search</t>
        </is>
      </c>
      <c r="D32" s="19" t="n">
        <v>9495013.140000001</v>
      </c>
      <c r="E32" s="21" t="n">
        <v>401</v>
      </c>
      <c r="F32" s="37" t="n">
        <v>348</v>
      </c>
      <c r="G32" s="37" t="n">
        <v>119</v>
      </c>
      <c r="H32" s="37" t="n">
        <v>151</v>
      </c>
    </row>
    <row r="33">
      <c r="A33" s="48" t="n">
        <v>46267</v>
      </c>
      <c r="B33" s="49" t="inlineStr">
        <is>
          <t>MOVIL</t>
        </is>
      </c>
      <c r="C33" s="49" t="inlineStr">
        <is>
          <t>TikTok</t>
        </is>
      </c>
      <c r="D33" s="19" t="n">
        <v>0</v>
      </c>
      <c r="E33" s="21" t="n">
        <v>0</v>
      </c>
      <c r="F33" s="37" t="n">
        <v>2</v>
      </c>
      <c r="G33" s="37" t="n">
        <v>0</v>
      </c>
      <c r="H33" s="37" t="n">
        <v>0</v>
      </c>
    </row>
    <row r="34">
      <c r="A34" s="48" t="n">
        <v>46268</v>
      </c>
      <c r="B34" s="49" t="inlineStr">
        <is>
          <t>FIJO</t>
        </is>
      </c>
      <c r="C34" s="49" t="inlineStr">
        <is>
          <t>Afiliados</t>
        </is>
      </c>
      <c r="D34" s="19" t="n">
        <v>0</v>
      </c>
      <c r="E34" s="21" t="n">
        <v>0</v>
      </c>
      <c r="F34" s="37" t="n">
        <v>35</v>
      </c>
      <c r="G34" s="37" t="n">
        <v>25</v>
      </c>
      <c r="H34" s="37" t="n">
        <v>31</v>
      </c>
    </row>
    <row r="35">
      <c r="A35" s="48" t="n">
        <v>46268</v>
      </c>
      <c r="B35" s="49" t="inlineStr">
        <is>
          <t>FIJO</t>
        </is>
      </c>
      <c r="C35" s="49" t="inlineStr">
        <is>
          <t>Bing</t>
        </is>
      </c>
      <c r="D35" s="19" t="n">
        <v>163622.3589</v>
      </c>
      <c r="E35" s="21" t="n">
        <v>31</v>
      </c>
      <c r="F35" s="37" t="n">
        <v>4</v>
      </c>
      <c r="G35" s="37" t="n">
        <v>6</v>
      </c>
      <c r="H35" s="37" t="n">
        <v>2</v>
      </c>
    </row>
    <row r="36">
      <c r="A36" s="48" t="n">
        <v>46268</v>
      </c>
      <c r="B36" s="49" t="inlineStr">
        <is>
          <t>FIJO</t>
        </is>
      </c>
      <c r="C36" s="49" t="inlineStr">
        <is>
          <t>Meta</t>
        </is>
      </c>
      <c r="D36" s="19" t="n">
        <v>661865.3496</v>
      </c>
      <c r="E36" s="21" t="n">
        <v>70</v>
      </c>
      <c r="F36" s="37" t="n">
        <v>23</v>
      </c>
      <c r="G36" s="37" t="n">
        <v>13</v>
      </c>
      <c r="H36" s="37" t="n">
        <v>23</v>
      </c>
    </row>
    <row r="37">
      <c r="A37" s="48" t="n">
        <v>46268</v>
      </c>
      <c r="B37" s="49" t="inlineStr">
        <is>
          <t>FIJO</t>
        </is>
      </c>
      <c r="C37" s="49" t="inlineStr">
        <is>
          <t>Pmax</t>
        </is>
      </c>
      <c r="D37" s="19" t="n">
        <v>1523488.69</v>
      </c>
      <c r="E37" s="21" t="n">
        <v>50</v>
      </c>
      <c r="F37" s="37" t="n">
        <v>21</v>
      </c>
      <c r="G37" s="37" t="n">
        <v>19</v>
      </c>
      <c r="H37" s="37" t="n">
        <v>42</v>
      </c>
    </row>
    <row r="38">
      <c r="A38" s="48" t="n">
        <v>46268</v>
      </c>
      <c r="B38" s="49" t="inlineStr">
        <is>
          <t>FIJO</t>
        </is>
      </c>
      <c r="C38" s="49" t="inlineStr">
        <is>
          <t>Search</t>
        </is>
      </c>
      <c r="D38" s="19" t="n">
        <v>5711871.85</v>
      </c>
      <c r="E38" s="21" t="n">
        <v>251</v>
      </c>
      <c r="F38" s="37" t="n">
        <v>182</v>
      </c>
      <c r="G38" s="37" t="n">
        <v>174</v>
      </c>
      <c r="H38" s="37" t="n">
        <v>125</v>
      </c>
    </row>
    <row r="39">
      <c r="A39" s="48" t="n">
        <v>46268</v>
      </c>
      <c r="B39" s="49" t="inlineStr">
        <is>
          <t>FIJO</t>
        </is>
      </c>
      <c r="C39" s="49" t="inlineStr">
        <is>
          <t>TikTok</t>
        </is>
      </c>
      <c r="D39" s="19" t="n">
        <v>0</v>
      </c>
      <c r="E39" s="21" t="n">
        <v>0</v>
      </c>
      <c r="F39" s="37" t="n">
        <v>1</v>
      </c>
      <c r="G39" s="37" t="n">
        <v>0</v>
      </c>
      <c r="H39" s="37" t="n">
        <v>0</v>
      </c>
    </row>
    <row r="40">
      <c r="A40" s="48" t="n">
        <v>46268</v>
      </c>
      <c r="B40" s="49" t="inlineStr">
        <is>
          <t>MIXTO</t>
        </is>
      </c>
      <c r="C40" s="49" t="inlineStr">
        <is>
          <t>Bing Mixto</t>
        </is>
      </c>
      <c r="D40" s="19" t="n">
        <v>73825.33409999999</v>
      </c>
      <c r="E40" s="21" t="n">
        <v>32</v>
      </c>
      <c r="F40" s="37" t="n">
        <v>22</v>
      </c>
      <c r="G40" s="37" t="n">
        <v>11</v>
      </c>
      <c r="H40" s="37" t="n">
        <v>4</v>
      </c>
    </row>
    <row r="41">
      <c r="A41" s="48" t="n">
        <v>46268</v>
      </c>
      <c r="B41" s="49" t="inlineStr">
        <is>
          <t>MIXTO</t>
        </is>
      </c>
      <c r="C41" s="49" t="inlineStr">
        <is>
          <t>Pmax Mixto</t>
        </is>
      </c>
      <c r="D41" s="19" t="n">
        <v>1671046.48</v>
      </c>
      <c r="E41" s="21" t="n">
        <v>105</v>
      </c>
      <c r="F41" s="37" t="n">
        <v>53</v>
      </c>
      <c r="G41" s="37" t="n">
        <v>16</v>
      </c>
      <c r="H41" s="37" t="n">
        <v>8</v>
      </c>
    </row>
    <row r="42">
      <c r="A42" s="48" t="n">
        <v>46268</v>
      </c>
      <c r="B42" s="49" t="inlineStr">
        <is>
          <t>MIXTO</t>
        </is>
      </c>
      <c r="C42" s="49" t="inlineStr">
        <is>
          <t>Search Mixto</t>
        </is>
      </c>
      <c r="D42" s="19" t="n">
        <v>2840178.91</v>
      </c>
      <c r="E42" s="21" t="n">
        <v>385</v>
      </c>
      <c r="F42" s="37" t="n">
        <v>313</v>
      </c>
      <c r="G42" s="37" t="n">
        <v>147</v>
      </c>
      <c r="H42" s="37" t="n">
        <v>87</v>
      </c>
    </row>
    <row r="43">
      <c r="A43" s="48" t="n">
        <v>46268</v>
      </c>
      <c r="B43" s="49" t="inlineStr">
        <is>
          <t>MOVIL</t>
        </is>
      </c>
      <c r="C43" s="49" t="inlineStr">
        <is>
          <t>Afiliados</t>
        </is>
      </c>
      <c r="D43" s="19" t="n">
        <v>0</v>
      </c>
      <c r="E43" s="21" t="n">
        <v>0</v>
      </c>
      <c r="F43" s="37" t="n">
        <v>67</v>
      </c>
      <c r="G43" s="37" t="n">
        <v>47</v>
      </c>
      <c r="H43" s="37" t="n">
        <v>28</v>
      </c>
    </row>
    <row r="44">
      <c r="A44" s="48" t="n">
        <v>46268</v>
      </c>
      <c r="B44" s="49" t="inlineStr">
        <is>
          <t>MOVIL</t>
        </is>
      </c>
      <c r="C44" s="49" t="inlineStr">
        <is>
          <t>Bing</t>
        </is>
      </c>
      <c r="D44" s="19" t="n">
        <v>51933.9996</v>
      </c>
      <c r="E44" s="21" t="n">
        <v>3</v>
      </c>
      <c r="F44" s="37" t="n">
        <v>5</v>
      </c>
      <c r="G44" s="37" t="n">
        <v>4</v>
      </c>
      <c r="H44" s="37" t="n">
        <v>1</v>
      </c>
    </row>
    <row r="45">
      <c r="A45" s="48" t="n">
        <v>46268</v>
      </c>
      <c r="B45" s="49" t="inlineStr">
        <is>
          <t>MOVIL</t>
        </is>
      </c>
      <c r="C45" s="49" t="inlineStr">
        <is>
          <t>Meta</t>
        </is>
      </c>
      <c r="D45" s="19" t="n">
        <v>715936.473</v>
      </c>
      <c r="E45" s="21" t="n">
        <v>142</v>
      </c>
      <c r="F45" s="37" t="n">
        <v>80</v>
      </c>
      <c r="G45" s="37" t="n">
        <v>16</v>
      </c>
      <c r="H45" s="37" t="n">
        <v>7</v>
      </c>
    </row>
    <row r="46">
      <c r="A46" s="48" t="n">
        <v>46268</v>
      </c>
      <c r="B46" s="49" t="inlineStr">
        <is>
          <t>MOVIL</t>
        </is>
      </c>
      <c r="C46" s="49" t="inlineStr">
        <is>
          <t>Pmax</t>
        </is>
      </c>
      <c r="D46" s="19" t="n">
        <v>498553.17</v>
      </c>
      <c r="E46" s="21" t="n">
        <v>26</v>
      </c>
      <c r="F46" s="37" t="n">
        <v>18</v>
      </c>
      <c r="G46" s="37" t="n">
        <v>6</v>
      </c>
      <c r="H46" s="37" t="n">
        <v>4</v>
      </c>
    </row>
    <row r="47">
      <c r="A47" s="48" t="n">
        <v>46268</v>
      </c>
      <c r="B47" s="49" t="inlineStr">
        <is>
          <t>MOVIL</t>
        </is>
      </c>
      <c r="C47" s="49" t="inlineStr">
        <is>
          <t>Search</t>
        </is>
      </c>
      <c r="D47" s="19" t="n">
        <v>9610793.76</v>
      </c>
      <c r="E47" s="21" t="n">
        <v>375</v>
      </c>
      <c r="F47" s="37" t="n">
        <v>283</v>
      </c>
      <c r="G47" s="37" t="n">
        <v>124</v>
      </c>
      <c r="H47" s="37" t="n">
        <v>105</v>
      </c>
    </row>
    <row r="48">
      <c r="A48" s="48" t="n">
        <v>46268</v>
      </c>
      <c r="B48" s="49" t="inlineStr">
        <is>
          <t>MOVIL</t>
        </is>
      </c>
      <c r="C48" s="49" t="inlineStr">
        <is>
          <t>TikTok</t>
        </is>
      </c>
      <c r="D48" s="19" t="n">
        <v>0</v>
      </c>
      <c r="E48" s="21" t="n">
        <v>0</v>
      </c>
      <c r="F48" s="37" t="n">
        <v>6</v>
      </c>
      <c r="G48" s="37" t="n">
        <v>0</v>
      </c>
      <c r="H48" s="37" t="n">
        <v>2</v>
      </c>
    </row>
    <row r="49">
      <c r="A49" s="48" t="n">
        <v>46269</v>
      </c>
      <c r="B49" s="49" t="inlineStr">
        <is>
          <t>FIJO</t>
        </is>
      </c>
      <c r="C49" s="49" t="inlineStr">
        <is>
          <t>*Sin Clasificar*</t>
        </is>
      </c>
      <c r="D49" s="19" t="n">
        <v>0</v>
      </c>
      <c r="E49" s="21" t="n">
        <v>0</v>
      </c>
      <c r="F49" s="37" t="n">
        <v>1</v>
      </c>
      <c r="G49" s="37" t="n">
        <v>0</v>
      </c>
      <c r="H49" s="37" t="n">
        <v>0</v>
      </c>
    </row>
    <row r="50">
      <c r="A50" s="48" t="n">
        <v>46269</v>
      </c>
      <c r="B50" s="49" t="inlineStr">
        <is>
          <t>FIJO</t>
        </is>
      </c>
      <c r="C50" s="49" t="inlineStr">
        <is>
          <t>Afiliados</t>
        </is>
      </c>
      <c r="D50" s="19" t="n">
        <v>0</v>
      </c>
      <c r="E50" s="21" t="n">
        <v>0</v>
      </c>
      <c r="F50" s="37" t="n">
        <v>38</v>
      </c>
      <c r="G50" s="37" t="n">
        <v>24</v>
      </c>
      <c r="H50" s="37" t="n">
        <v>28</v>
      </c>
    </row>
    <row r="51">
      <c r="A51" s="48" t="n">
        <v>46269</v>
      </c>
      <c r="B51" s="49" t="inlineStr">
        <is>
          <t>FIJO</t>
        </is>
      </c>
      <c r="C51" s="49" t="inlineStr">
        <is>
          <t>Bing</t>
        </is>
      </c>
      <c r="D51" s="19" t="n">
        <v>144936.7101</v>
      </c>
      <c r="E51" s="21" t="n">
        <v>30</v>
      </c>
      <c r="F51" s="37" t="n">
        <v>12</v>
      </c>
      <c r="G51" s="37" t="n">
        <v>3</v>
      </c>
      <c r="H51" s="37" t="n">
        <v>5</v>
      </c>
    </row>
    <row r="52">
      <c r="A52" s="48" t="n">
        <v>46269</v>
      </c>
      <c r="B52" s="49" t="inlineStr">
        <is>
          <t>FIJO</t>
        </is>
      </c>
      <c r="C52" s="49" t="inlineStr">
        <is>
          <t>Meta</t>
        </is>
      </c>
      <c r="D52" s="19" t="n">
        <v>659520.1872</v>
      </c>
      <c r="E52" s="21" t="n">
        <v>86</v>
      </c>
      <c r="F52" s="37" t="n">
        <v>28</v>
      </c>
      <c r="G52" s="37" t="n">
        <v>11</v>
      </c>
      <c r="H52" s="37" t="n">
        <v>12</v>
      </c>
    </row>
    <row r="53">
      <c r="A53" s="48" t="n">
        <v>46269</v>
      </c>
      <c r="B53" s="49" t="inlineStr">
        <is>
          <t>FIJO</t>
        </is>
      </c>
      <c r="C53" s="49" t="inlineStr">
        <is>
          <t>Pmax</t>
        </is>
      </c>
      <c r="D53" s="19" t="n">
        <v>1556402.59</v>
      </c>
      <c r="E53" s="21" t="n">
        <v>47</v>
      </c>
      <c r="F53" s="37" t="n">
        <v>23</v>
      </c>
      <c r="G53" s="37" t="n">
        <v>14</v>
      </c>
      <c r="H53" s="37" t="n">
        <v>29</v>
      </c>
    </row>
    <row r="54">
      <c r="A54" s="48" t="n">
        <v>46269</v>
      </c>
      <c r="B54" s="49" t="inlineStr">
        <is>
          <t>FIJO</t>
        </is>
      </c>
      <c r="C54" s="49" t="inlineStr">
        <is>
          <t>Search</t>
        </is>
      </c>
      <c r="D54" s="19" t="n">
        <v>5493817.36</v>
      </c>
      <c r="E54" s="21" t="n">
        <v>212</v>
      </c>
      <c r="F54" s="37" t="n">
        <v>167</v>
      </c>
      <c r="G54" s="37" t="n">
        <v>126</v>
      </c>
      <c r="H54" s="37" t="n">
        <v>122</v>
      </c>
    </row>
    <row r="55">
      <c r="A55" s="48" t="n">
        <v>46269</v>
      </c>
      <c r="B55" s="49" t="inlineStr">
        <is>
          <t>MIXTO</t>
        </is>
      </c>
      <c r="C55" s="49" t="inlineStr">
        <is>
          <t>Bing Mixto</t>
        </is>
      </c>
      <c r="D55" s="19" t="n">
        <v>71461.2591</v>
      </c>
      <c r="E55" s="21" t="n">
        <v>40</v>
      </c>
      <c r="F55" s="37" t="n">
        <v>16</v>
      </c>
      <c r="G55" s="37" t="n">
        <v>9</v>
      </c>
      <c r="H55" s="37" t="n">
        <v>8</v>
      </c>
    </row>
    <row r="56">
      <c r="A56" s="48" t="n">
        <v>46269</v>
      </c>
      <c r="B56" s="49" t="inlineStr">
        <is>
          <t>MIXTO</t>
        </is>
      </c>
      <c r="C56" s="49" t="inlineStr">
        <is>
          <t>Pmax Mixto</t>
        </is>
      </c>
      <c r="D56" s="19" t="n">
        <v>1670404.73</v>
      </c>
      <c r="E56" s="21" t="n">
        <v>70</v>
      </c>
      <c r="F56" s="37" t="n">
        <v>33</v>
      </c>
      <c r="G56" s="37" t="n">
        <v>11</v>
      </c>
      <c r="H56" s="37" t="n">
        <v>17</v>
      </c>
    </row>
    <row r="57">
      <c r="A57" s="48" t="n">
        <v>46269</v>
      </c>
      <c r="B57" s="49" t="inlineStr">
        <is>
          <t>MIXTO</t>
        </is>
      </c>
      <c r="C57" s="49" t="inlineStr">
        <is>
          <t>Search Mixto</t>
        </is>
      </c>
      <c r="D57" s="19" t="n">
        <v>3230130.2</v>
      </c>
      <c r="E57" s="21" t="n">
        <v>319</v>
      </c>
      <c r="F57" s="37" t="n">
        <v>261</v>
      </c>
      <c r="G57" s="37" t="n">
        <v>120</v>
      </c>
      <c r="H57" s="37" t="n">
        <v>105</v>
      </c>
    </row>
    <row r="58">
      <c r="A58" s="48" t="n">
        <v>46269</v>
      </c>
      <c r="B58" s="49" t="inlineStr">
        <is>
          <t>MOVIL</t>
        </is>
      </c>
      <c r="C58" s="49" t="inlineStr">
        <is>
          <t>Afiliados</t>
        </is>
      </c>
      <c r="D58" s="19" t="n">
        <v>0</v>
      </c>
      <c r="E58" s="21" t="n">
        <v>0</v>
      </c>
      <c r="F58" s="37" t="n">
        <v>57</v>
      </c>
      <c r="G58" s="37" t="n">
        <v>27</v>
      </c>
      <c r="H58" s="37" t="n">
        <v>42</v>
      </c>
    </row>
    <row r="59">
      <c r="A59" s="48" t="n">
        <v>46269</v>
      </c>
      <c r="B59" s="49" t="inlineStr">
        <is>
          <t>MOVIL</t>
        </is>
      </c>
      <c r="C59" s="49" t="inlineStr">
        <is>
          <t>Bing</t>
        </is>
      </c>
      <c r="D59" s="19" t="n">
        <v>81002.6658</v>
      </c>
      <c r="E59" s="21" t="n">
        <v>4</v>
      </c>
      <c r="F59" s="37" t="n">
        <v>2</v>
      </c>
      <c r="G59" s="37" t="n">
        <v>1</v>
      </c>
      <c r="H59" s="37" t="n">
        <v>2</v>
      </c>
    </row>
    <row r="60">
      <c r="A60" s="48" t="n">
        <v>46269</v>
      </c>
      <c r="B60" s="49" t="inlineStr">
        <is>
          <t>MOVIL</t>
        </is>
      </c>
      <c r="C60" s="49" t="inlineStr">
        <is>
          <t>Meta</t>
        </is>
      </c>
      <c r="D60" s="19" t="n">
        <v>647255.3661</v>
      </c>
      <c r="E60" s="21" t="n">
        <v>118</v>
      </c>
      <c r="F60" s="37" t="n">
        <v>84</v>
      </c>
      <c r="G60" s="37" t="n">
        <v>11</v>
      </c>
      <c r="H60" s="37" t="n">
        <v>17</v>
      </c>
    </row>
    <row r="61">
      <c r="A61" s="48" t="n">
        <v>46269</v>
      </c>
      <c r="B61" s="49" t="inlineStr">
        <is>
          <t>MOVIL</t>
        </is>
      </c>
      <c r="C61" s="49" t="inlineStr">
        <is>
          <t>Pmax</t>
        </is>
      </c>
      <c r="D61" s="19" t="n">
        <v>514197.76</v>
      </c>
      <c r="E61" s="21" t="n">
        <v>28</v>
      </c>
      <c r="F61" s="37" t="n">
        <v>19</v>
      </c>
      <c r="G61" s="37" t="n">
        <v>8</v>
      </c>
      <c r="H61" s="37" t="n">
        <v>5</v>
      </c>
    </row>
    <row r="62">
      <c r="A62" s="48" t="n">
        <v>46269</v>
      </c>
      <c r="B62" s="49" t="inlineStr">
        <is>
          <t>MOVIL</t>
        </is>
      </c>
      <c r="C62" s="49" t="inlineStr">
        <is>
          <t>Search</t>
        </is>
      </c>
      <c r="D62" s="19" t="n">
        <v>8653776.859999999</v>
      </c>
      <c r="E62" s="21" t="n">
        <v>346</v>
      </c>
      <c r="F62" s="37" t="n">
        <v>242</v>
      </c>
      <c r="G62" s="37" t="n">
        <v>117</v>
      </c>
      <c r="H62" s="37" t="n">
        <v>106</v>
      </c>
    </row>
    <row r="63">
      <c r="A63" s="48" t="n">
        <v>46269</v>
      </c>
      <c r="B63" s="49" t="inlineStr">
        <is>
          <t>MOVIL</t>
        </is>
      </c>
      <c r="C63" s="49" t="inlineStr">
        <is>
          <t>TikTok</t>
        </is>
      </c>
      <c r="D63" s="19" t="n">
        <v>0</v>
      </c>
      <c r="E63" s="21" t="n">
        <v>0</v>
      </c>
      <c r="F63" s="37" t="n">
        <v>1</v>
      </c>
      <c r="G63" s="37" t="n">
        <v>0</v>
      </c>
      <c r="H63" s="37" t="n">
        <v>0</v>
      </c>
    </row>
    <row r="64">
      <c r="A64" s="48" t="n">
        <v>46270</v>
      </c>
      <c r="B64" s="49" t="inlineStr">
        <is>
          <t>FIJO</t>
        </is>
      </c>
      <c r="C64" s="49" t="inlineStr">
        <is>
          <t>Afiliados</t>
        </is>
      </c>
      <c r="D64" s="19" t="n">
        <v>0</v>
      </c>
      <c r="E64" s="21" t="n">
        <v>0</v>
      </c>
      <c r="F64" s="37" t="n">
        <v>30</v>
      </c>
      <c r="G64" s="37" t="n">
        <v>26</v>
      </c>
      <c r="H64" s="37" t="n">
        <v>14</v>
      </c>
    </row>
    <row r="65">
      <c r="A65" s="48" t="n">
        <v>46270</v>
      </c>
      <c r="B65" s="49" t="inlineStr">
        <is>
          <t>FIJO</t>
        </is>
      </c>
      <c r="C65" s="49" t="inlineStr">
        <is>
          <t>Bing</t>
        </is>
      </c>
      <c r="D65" s="19" t="n">
        <v>160898.9445</v>
      </c>
      <c r="E65" s="21" t="n">
        <v>5</v>
      </c>
      <c r="F65" s="37" t="n">
        <v>1</v>
      </c>
      <c r="G65" s="37" t="n">
        <v>0</v>
      </c>
      <c r="H65" s="37" t="n">
        <v>6</v>
      </c>
    </row>
    <row r="66">
      <c r="A66" s="48" t="n">
        <v>46270</v>
      </c>
      <c r="B66" s="49" t="inlineStr">
        <is>
          <t>FIJO</t>
        </is>
      </c>
      <c r="C66" s="49" t="inlineStr">
        <is>
          <t>Meta</t>
        </is>
      </c>
      <c r="D66" s="19" t="n">
        <v>632011.8105</v>
      </c>
      <c r="E66" s="21" t="n">
        <v>65</v>
      </c>
      <c r="F66" s="37" t="n">
        <v>17</v>
      </c>
      <c r="G66" s="37" t="n">
        <v>12</v>
      </c>
      <c r="H66" s="37" t="n">
        <v>11</v>
      </c>
    </row>
    <row r="67">
      <c r="A67" s="48" t="n">
        <v>46270</v>
      </c>
      <c r="B67" s="49" t="inlineStr">
        <is>
          <t>FIJO</t>
        </is>
      </c>
      <c r="C67" s="49" t="inlineStr">
        <is>
          <t>Pmax</t>
        </is>
      </c>
      <c r="D67" s="19" t="n">
        <v>1246147.66</v>
      </c>
      <c r="E67" s="21" t="n">
        <v>17</v>
      </c>
      <c r="F67" s="37" t="n">
        <v>8</v>
      </c>
      <c r="G67" s="37" t="n">
        <v>8</v>
      </c>
      <c r="H67" s="37" t="n">
        <v>13</v>
      </c>
    </row>
    <row r="68">
      <c r="A68" s="48" t="n">
        <v>46270</v>
      </c>
      <c r="B68" s="49" t="inlineStr">
        <is>
          <t>FIJO</t>
        </is>
      </c>
      <c r="C68" s="49" t="inlineStr">
        <is>
          <t>Search</t>
        </is>
      </c>
      <c r="D68" s="19" t="n">
        <v>5158855.439999999</v>
      </c>
      <c r="E68" s="21" t="n">
        <v>144</v>
      </c>
      <c r="F68" s="37" t="n">
        <v>104</v>
      </c>
      <c r="G68" s="37" t="n">
        <v>84</v>
      </c>
      <c r="H68" s="37" t="n">
        <v>90</v>
      </c>
    </row>
    <row r="69">
      <c r="A69" s="48" t="n">
        <v>46270</v>
      </c>
      <c r="B69" s="49" t="inlineStr">
        <is>
          <t>MIXTO</t>
        </is>
      </c>
      <c r="C69" s="49" t="inlineStr">
        <is>
          <t>Bing Mixto</t>
        </is>
      </c>
      <c r="D69" s="19" t="n">
        <v>63461.2293</v>
      </c>
      <c r="E69" s="21" t="n">
        <v>18</v>
      </c>
      <c r="F69" s="37" t="n">
        <v>9</v>
      </c>
      <c r="G69" s="37" t="n">
        <v>5</v>
      </c>
      <c r="H69" s="37" t="n">
        <v>7</v>
      </c>
    </row>
    <row r="70">
      <c r="A70" s="48" t="n">
        <v>46270</v>
      </c>
      <c r="B70" s="49" t="inlineStr">
        <is>
          <t>MIXTO</t>
        </is>
      </c>
      <c r="C70" s="49" t="inlineStr">
        <is>
          <t>Pmax Mixto</t>
        </is>
      </c>
      <c r="D70" s="19" t="n">
        <v>1540988.46</v>
      </c>
      <c r="E70" s="21" t="n">
        <v>60</v>
      </c>
      <c r="F70" s="37" t="n">
        <v>30</v>
      </c>
      <c r="G70" s="37" t="n">
        <v>8</v>
      </c>
      <c r="H70" s="37" t="n">
        <v>12</v>
      </c>
    </row>
    <row r="71">
      <c r="A71" s="48" t="n">
        <v>46270</v>
      </c>
      <c r="B71" s="49" t="inlineStr">
        <is>
          <t>MIXTO</t>
        </is>
      </c>
      <c r="C71" s="49" t="inlineStr">
        <is>
          <t>Search Mixto</t>
        </is>
      </c>
      <c r="D71" s="19" t="n">
        <v>3119268.74</v>
      </c>
      <c r="E71" s="21" t="n">
        <v>217</v>
      </c>
      <c r="F71" s="37" t="n">
        <v>166</v>
      </c>
      <c r="G71" s="37" t="n">
        <v>64</v>
      </c>
      <c r="H71" s="37" t="n">
        <v>70</v>
      </c>
    </row>
    <row r="72">
      <c r="A72" s="48" t="n">
        <v>46270</v>
      </c>
      <c r="B72" s="49" t="inlineStr">
        <is>
          <t>MOVIL</t>
        </is>
      </c>
      <c r="C72" s="49" t="inlineStr">
        <is>
          <t>Afiliados</t>
        </is>
      </c>
      <c r="D72" s="19" t="n">
        <v>0</v>
      </c>
      <c r="E72" s="21" t="n">
        <v>0</v>
      </c>
      <c r="F72" s="37" t="n">
        <v>44</v>
      </c>
      <c r="G72" s="37" t="n">
        <v>20</v>
      </c>
      <c r="H72" s="37" t="n">
        <v>18</v>
      </c>
    </row>
    <row r="73">
      <c r="A73" s="48" t="n">
        <v>46270</v>
      </c>
      <c r="B73" s="49" t="inlineStr">
        <is>
          <t>MOVIL</t>
        </is>
      </c>
      <c r="C73" s="49" t="inlineStr">
        <is>
          <t>Bing</t>
        </is>
      </c>
      <c r="D73" s="19" t="n">
        <v>19896.0552</v>
      </c>
      <c r="E73" s="21" t="n">
        <v>2</v>
      </c>
      <c r="F73" s="37" t="n">
        <v>1</v>
      </c>
      <c r="G73" s="37" t="n">
        <v>3</v>
      </c>
      <c r="H73" s="37" t="n">
        <v>3</v>
      </c>
    </row>
    <row r="74">
      <c r="A74" s="48" t="n">
        <v>46270</v>
      </c>
      <c r="B74" s="49" t="inlineStr">
        <is>
          <t>MOVIL</t>
        </is>
      </c>
      <c r="C74" s="49" t="inlineStr">
        <is>
          <t>Meta</t>
        </is>
      </c>
      <c r="D74" s="19" t="n">
        <v>592181.8748999999</v>
      </c>
      <c r="E74" s="21" t="n">
        <v>94</v>
      </c>
      <c r="F74" s="37" t="n">
        <v>47</v>
      </c>
      <c r="G74" s="37" t="n">
        <v>7</v>
      </c>
      <c r="H74" s="37" t="n">
        <v>13</v>
      </c>
    </row>
    <row r="75">
      <c r="A75" s="48" t="n">
        <v>46270</v>
      </c>
      <c r="B75" s="49" t="inlineStr">
        <is>
          <t>MOVIL</t>
        </is>
      </c>
      <c r="C75" s="49" t="inlineStr">
        <is>
          <t>Pmax</t>
        </is>
      </c>
      <c r="D75" s="19" t="n">
        <v>675108.33</v>
      </c>
      <c r="E75" s="21" t="n">
        <v>28</v>
      </c>
      <c r="F75" s="37" t="n">
        <v>13</v>
      </c>
      <c r="G75" s="37" t="n">
        <v>9</v>
      </c>
      <c r="H75" s="37" t="n">
        <v>4</v>
      </c>
    </row>
    <row r="76">
      <c r="A76" s="48" t="n">
        <v>46270</v>
      </c>
      <c r="B76" s="49" t="inlineStr">
        <is>
          <t>MOVIL</t>
        </is>
      </c>
      <c r="C76" s="49" t="inlineStr">
        <is>
          <t>Search</t>
        </is>
      </c>
      <c r="D76" s="19" t="n">
        <v>7972694.87</v>
      </c>
      <c r="E76" s="21" t="n">
        <v>247</v>
      </c>
      <c r="F76" s="37" t="n">
        <v>136</v>
      </c>
      <c r="G76" s="37" t="n">
        <v>47</v>
      </c>
      <c r="H76" s="37" t="n">
        <v>118</v>
      </c>
    </row>
    <row r="77">
      <c r="A77" s="48" t="n">
        <v>46270</v>
      </c>
      <c r="B77" s="49" t="inlineStr">
        <is>
          <t>MOVIL</t>
        </is>
      </c>
      <c r="C77" s="49" t="inlineStr">
        <is>
          <t>TikTok</t>
        </is>
      </c>
      <c r="D77" s="19" t="n">
        <v>0</v>
      </c>
      <c r="E77" s="21" t="n">
        <v>0</v>
      </c>
      <c r="F77" s="37" t="n">
        <v>4</v>
      </c>
      <c r="G77" s="37" t="n">
        <v>1</v>
      </c>
      <c r="H77" s="37" t="n">
        <v>0</v>
      </c>
    </row>
    <row r="78">
      <c r="A78" s="48" t="n">
        <v>46271</v>
      </c>
      <c r="B78" s="49" t="inlineStr">
        <is>
          <t>FIJO</t>
        </is>
      </c>
      <c r="C78" s="49" t="inlineStr">
        <is>
          <t>*Sin Clasificar*</t>
        </is>
      </c>
      <c r="D78" s="19" t="n">
        <v>0</v>
      </c>
      <c r="E78" s="21" t="n">
        <v>0</v>
      </c>
      <c r="F78" s="37" t="n">
        <v>1</v>
      </c>
      <c r="G78" s="37" t="n">
        <v>1</v>
      </c>
      <c r="H78" s="37" t="n">
        <v>0</v>
      </c>
    </row>
    <row r="79">
      <c r="A79" s="48" t="n">
        <v>46271</v>
      </c>
      <c r="B79" s="49" t="inlineStr">
        <is>
          <t>FIJO</t>
        </is>
      </c>
      <c r="C79" s="49" t="inlineStr">
        <is>
          <t>Afiliados</t>
        </is>
      </c>
      <c r="D79" s="19" t="n">
        <v>0</v>
      </c>
      <c r="E79" s="21" t="n">
        <v>0</v>
      </c>
      <c r="F79" s="37" t="n">
        <v>16</v>
      </c>
      <c r="G79" s="37" t="n">
        <v>10</v>
      </c>
      <c r="H79" s="37" t="n">
        <v>1</v>
      </c>
    </row>
    <row r="80">
      <c r="A80" s="48" t="n">
        <v>46271</v>
      </c>
      <c r="B80" s="49" t="inlineStr">
        <is>
          <t>FIJO</t>
        </is>
      </c>
      <c r="C80" s="49" t="inlineStr">
        <is>
          <t>Bing</t>
        </is>
      </c>
      <c r="D80" s="19" t="n">
        <v>121579.6491</v>
      </c>
      <c r="E80" s="21" t="n">
        <v>14</v>
      </c>
      <c r="F80" s="37" t="n">
        <v>2</v>
      </c>
      <c r="G80" s="37" t="n">
        <v>2</v>
      </c>
      <c r="H80" s="37" t="n">
        <v>0</v>
      </c>
    </row>
    <row r="81">
      <c r="A81" s="48" t="n">
        <v>46271</v>
      </c>
      <c r="B81" s="49" t="inlineStr">
        <is>
          <t>FIJO</t>
        </is>
      </c>
      <c r="C81" s="49" t="inlineStr">
        <is>
          <t>Meta</t>
        </is>
      </c>
      <c r="D81" s="19" t="n">
        <v>713421.0972</v>
      </c>
      <c r="E81" s="21" t="n">
        <v>83</v>
      </c>
      <c r="F81" s="37" t="n">
        <v>18</v>
      </c>
      <c r="G81" s="37" t="n">
        <v>4</v>
      </c>
      <c r="H81" s="37" t="n">
        <v>0</v>
      </c>
    </row>
    <row r="82">
      <c r="A82" s="48" t="n">
        <v>46271</v>
      </c>
      <c r="B82" s="49" t="inlineStr">
        <is>
          <t>FIJO</t>
        </is>
      </c>
      <c r="C82" s="49" t="inlineStr">
        <is>
          <t>Pmax</t>
        </is>
      </c>
      <c r="D82" s="19" t="n">
        <v>1200411.43</v>
      </c>
      <c r="E82" s="21" t="n">
        <v>37</v>
      </c>
      <c r="F82" s="37" t="n">
        <v>10</v>
      </c>
      <c r="G82" s="37" t="n">
        <v>5</v>
      </c>
      <c r="H82" s="37" t="n">
        <v>1</v>
      </c>
    </row>
    <row r="83">
      <c r="A83" s="48" t="n">
        <v>46271</v>
      </c>
      <c r="B83" s="49" t="inlineStr">
        <is>
          <t>FIJO</t>
        </is>
      </c>
      <c r="C83" s="49" t="inlineStr">
        <is>
          <t>Search</t>
        </is>
      </c>
      <c r="D83" s="19" t="n">
        <v>3768339.41</v>
      </c>
      <c r="E83" s="21" t="n">
        <v>103</v>
      </c>
      <c r="F83" s="37" t="n">
        <v>77</v>
      </c>
      <c r="G83" s="37" t="n">
        <v>64</v>
      </c>
      <c r="H83" s="37" t="n">
        <v>9</v>
      </c>
    </row>
    <row r="84">
      <c r="A84" s="48" t="n">
        <v>46271</v>
      </c>
      <c r="B84" s="49" t="inlineStr">
        <is>
          <t>MIXTO</t>
        </is>
      </c>
      <c r="C84" s="49" t="inlineStr">
        <is>
          <t>Bing Mixto</t>
        </is>
      </c>
      <c r="D84" s="19" t="n">
        <v>58978.9431</v>
      </c>
      <c r="E84" s="21" t="n">
        <v>11</v>
      </c>
      <c r="F84" s="37" t="n">
        <v>1</v>
      </c>
      <c r="G84" s="37" t="n">
        <v>2</v>
      </c>
      <c r="H84" s="37" t="n">
        <v>0</v>
      </c>
    </row>
    <row r="85">
      <c r="A85" s="48" t="n">
        <v>46271</v>
      </c>
      <c r="B85" s="49" t="inlineStr">
        <is>
          <t>MIXTO</t>
        </is>
      </c>
      <c r="C85" s="49" t="inlineStr">
        <is>
          <t>Pmax Mixto</t>
        </is>
      </c>
      <c r="D85" s="19" t="n">
        <v>1239805.45</v>
      </c>
      <c r="E85" s="21" t="n">
        <v>73</v>
      </c>
      <c r="F85" s="37" t="n">
        <v>52</v>
      </c>
      <c r="G85" s="37" t="n">
        <v>17</v>
      </c>
      <c r="H85" s="37" t="n">
        <v>2</v>
      </c>
    </row>
    <row r="86">
      <c r="A86" s="48" t="n">
        <v>46271</v>
      </c>
      <c r="B86" s="49" t="inlineStr">
        <is>
          <t>MIXTO</t>
        </is>
      </c>
      <c r="C86" s="49" t="inlineStr">
        <is>
          <t>Search Mixto</t>
        </is>
      </c>
      <c r="D86" s="19" t="n">
        <v>2017232.88</v>
      </c>
      <c r="E86" s="21" t="n">
        <v>169</v>
      </c>
      <c r="F86" s="37" t="n">
        <v>144</v>
      </c>
      <c r="G86" s="37" t="n">
        <v>65</v>
      </c>
      <c r="H86" s="37" t="n">
        <v>4</v>
      </c>
    </row>
    <row r="87">
      <c r="A87" s="48" t="n">
        <v>46271</v>
      </c>
      <c r="B87" s="49" t="inlineStr">
        <is>
          <t>MOVIL</t>
        </is>
      </c>
      <c r="C87" s="49" t="inlineStr">
        <is>
          <t>Afiliados</t>
        </is>
      </c>
      <c r="D87" s="19" t="n">
        <v>0</v>
      </c>
      <c r="E87" s="21" t="n">
        <v>0</v>
      </c>
      <c r="F87" s="37" t="n">
        <v>28</v>
      </c>
      <c r="G87" s="37" t="n">
        <v>20</v>
      </c>
      <c r="H87" s="37" t="n">
        <v>0</v>
      </c>
    </row>
    <row r="88">
      <c r="A88" s="48" t="n">
        <v>46271</v>
      </c>
      <c r="B88" s="49" t="inlineStr">
        <is>
          <t>MOVIL</t>
        </is>
      </c>
      <c r="C88" s="49" t="inlineStr">
        <is>
          <t>Bing</t>
        </is>
      </c>
      <c r="D88" s="19" t="n">
        <v>26969.3676</v>
      </c>
      <c r="E88" s="21" t="n">
        <v>5</v>
      </c>
      <c r="F88" s="37" t="n">
        <v>1</v>
      </c>
      <c r="G88" s="37" t="n">
        <v>0</v>
      </c>
      <c r="H88" s="37" t="n">
        <v>0</v>
      </c>
    </row>
    <row r="89">
      <c r="A89" s="48" t="n">
        <v>46271</v>
      </c>
      <c r="B89" s="49" t="inlineStr">
        <is>
          <t>MOVIL</t>
        </is>
      </c>
      <c r="C89" s="49" t="inlineStr">
        <is>
          <t>Meta</t>
        </is>
      </c>
      <c r="D89" s="19" t="n">
        <v>853440.5313</v>
      </c>
      <c r="E89" s="21" t="n">
        <v>141</v>
      </c>
      <c r="F89" s="37" t="n">
        <v>72</v>
      </c>
      <c r="G89" s="37" t="n">
        <v>14</v>
      </c>
      <c r="H89" s="37" t="n">
        <v>0</v>
      </c>
    </row>
    <row r="90">
      <c r="A90" s="48" t="n">
        <v>46271</v>
      </c>
      <c r="B90" s="49" t="inlineStr">
        <is>
          <t>MOVIL</t>
        </is>
      </c>
      <c r="C90" s="49" t="inlineStr">
        <is>
          <t>Pmax</t>
        </is>
      </c>
      <c r="D90" s="19" t="n">
        <v>533682.79</v>
      </c>
      <c r="E90" s="21" t="n">
        <v>18</v>
      </c>
      <c r="F90" s="37" t="n">
        <v>11</v>
      </c>
      <c r="G90" s="37" t="n">
        <v>4</v>
      </c>
      <c r="H90" s="37" t="n">
        <v>0</v>
      </c>
    </row>
    <row r="91">
      <c r="A91" s="48" t="n">
        <v>46271</v>
      </c>
      <c r="B91" s="49" t="inlineStr">
        <is>
          <t>MOVIL</t>
        </is>
      </c>
      <c r="C91" s="49" t="inlineStr">
        <is>
          <t>Search</t>
        </is>
      </c>
      <c r="D91" s="19" t="n">
        <v>6801603.66</v>
      </c>
      <c r="E91" s="21" t="n">
        <v>186</v>
      </c>
      <c r="F91" s="37" t="n">
        <v>93</v>
      </c>
      <c r="G91" s="37" t="n">
        <v>43</v>
      </c>
      <c r="H91" s="37" t="n">
        <v>2</v>
      </c>
    </row>
    <row r="92">
      <c r="A92" s="48" t="n">
        <v>46272</v>
      </c>
      <c r="B92" s="49" t="inlineStr">
        <is>
          <t>FIJO</t>
        </is>
      </c>
      <c r="C92" s="49" t="inlineStr">
        <is>
          <t>*Sin Clasificar*</t>
        </is>
      </c>
      <c r="D92" s="19" t="n">
        <v>0</v>
      </c>
      <c r="E92" s="21" t="n">
        <v>0</v>
      </c>
      <c r="F92" s="37" t="n">
        <v>1</v>
      </c>
      <c r="G92" s="37" t="n">
        <v>0</v>
      </c>
      <c r="H92" s="37" t="n">
        <v>1</v>
      </c>
    </row>
    <row r="93">
      <c r="A93" s="48" t="n">
        <v>46272</v>
      </c>
      <c r="B93" s="49" t="inlineStr">
        <is>
          <t>FIJO</t>
        </is>
      </c>
      <c r="C93" s="49" t="inlineStr">
        <is>
          <t>Afiliados</t>
        </is>
      </c>
      <c r="D93" s="19" t="n">
        <v>0</v>
      </c>
      <c r="E93" s="21" t="n">
        <v>0</v>
      </c>
      <c r="F93" s="37" t="n">
        <v>60</v>
      </c>
      <c r="G93" s="37" t="n">
        <v>44</v>
      </c>
      <c r="H93" s="37" t="n">
        <v>38</v>
      </c>
    </row>
    <row r="94">
      <c r="A94" s="48" t="n">
        <v>46272</v>
      </c>
      <c r="B94" s="49" t="inlineStr">
        <is>
          <t>FIJO</t>
        </is>
      </c>
      <c r="C94" s="49" t="inlineStr">
        <is>
          <t>Bing</t>
        </is>
      </c>
      <c r="D94" s="19" t="n">
        <v>294431.3568</v>
      </c>
      <c r="E94" s="21" t="n">
        <v>27</v>
      </c>
      <c r="F94" s="37" t="n">
        <v>6</v>
      </c>
      <c r="G94" s="37" t="n">
        <v>4</v>
      </c>
      <c r="H94" s="37" t="n">
        <v>3</v>
      </c>
    </row>
    <row r="95">
      <c r="A95" s="48" t="n">
        <v>46272</v>
      </c>
      <c r="B95" s="49" t="inlineStr">
        <is>
          <t>FIJO</t>
        </is>
      </c>
      <c r="C95" s="49" t="inlineStr">
        <is>
          <t>Meta</t>
        </is>
      </c>
      <c r="D95" s="19" t="n">
        <v>820835.2089</v>
      </c>
      <c r="E95" s="21" t="n">
        <v>108</v>
      </c>
      <c r="F95" s="37" t="n">
        <v>45</v>
      </c>
      <c r="G95" s="37" t="n">
        <v>14</v>
      </c>
      <c r="H95" s="37" t="n">
        <v>13</v>
      </c>
    </row>
    <row r="96">
      <c r="A96" s="48" t="n">
        <v>46272</v>
      </c>
      <c r="B96" s="49" t="inlineStr">
        <is>
          <t>FIJO</t>
        </is>
      </c>
      <c r="C96" s="49" t="inlineStr">
        <is>
          <t>Pmax</t>
        </is>
      </c>
      <c r="D96" s="19" t="n">
        <v>1727708.36</v>
      </c>
      <c r="E96" s="21" t="n">
        <v>70</v>
      </c>
      <c r="F96" s="37" t="n">
        <v>44</v>
      </c>
      <c r="G96" s="37" t="n">
        <v>18</v>
      </c>
      <c r="H96" s="37" t="n">
        <v>14</v>
      </c>
    </row>
    <row r="97">
      <c r="A97" s="48" t="n">
        <v>46272</v>
      </c>
      <c r="B97" s="49" t="inlineStr">
        <is>
          <t>FIJO</t>
        </is>
      </c>
      <c r="C97" s="49" t="inlineStr">
        <is>
          <t>Search</t>
        </is>
      </c>
      <c r="D97" s="19" t="n">
        <v>8133666.58</v>
      </c>
      <c r="E97" s="21" t="n">
        <v>310</v>
      </c>
      <c r="F97" s="37" t="n">
        <v>247</v>
      </c>
      <c r="G97" s="37" t="n">
        <v>186</v>
      </c>
      <c r="H97" s="37" t="n">
        <v>139</v>
      </c>
    </row>
    <row r="98">
      <c r="A98" s="48" t="n">
        <v>46272</v>
      </c>
      <c r="B98" s="49" t="inlineStr">
        <is>
          <t>FIJO</t>
        </is>
      </c>
      <c r="C98" s="49" t="inlineStr">
        <is>
          <t>TikTok</t>
        </is>
      </c>
      <c r="D98" s="19" t="n">
        <v>0</v>
      </c>
      <c r="E98" s="21" t="n">
        <v>0</v>
      </c>
      <c r="F98" s="37" t="n">
        <v>1</v>
      </c>
      <c r="G98" s="37" t="n">
        <v>0</v>
      </c>
      <c r="H98" s="37" t="n">
        <v>0</v>
      </c>
    </row>
    <row r="99">
      <c r="A99" s="48" t="n">
        <v>46272</v>
      </c>
      <c r="B99" s="49" t="inlineStr">
        <is>
          <t>MIXTO</t>
        </is>
      </c>
      <c r="C99" s="49" t="inlineStr">
        <is>
          <t>Bing Mixto</t>
        </is>
      </c>
      <c r="D99" s="19" t="n">
        <v>75149.21610000001</v>
      </c>
      <c r="E99" s="21" t="n">
        <v>52</v>
      </c>
      <c r="F99" s="37" t="n">
        <v>17</v>
      </c>
      <c r="G99" s="37" t="n">
        <v>17</v>
      </c>
      <c r="H99" s="37" t="n">
        <v>11</v>
      </c>
    </row>
    <row r="100">
      <c r="A100" s="48" t="n">
        <v>46272</v>
      </c>
      <c r="B100" s="49" t="inlineStr">
        <is>
          <t>MIXTO</t>
        </is>
      </c>
      <c r="C100" s="49" t="inlineStr">
        <is>
          <t>Pmax Mixto</t>
        </is>
      </c>
      <c r="D100" s="19" t="n">
        <v>1829687.04</v>
      </c>
      <c r="E100" s="21" t="n">
        <v>152</v>
      </c>
      <c r="F100" s="37" t="n">
        <v>125</v>
      </c>
      <c r="G100" s="37" t="n">
        <v>41</v>
      </c>
      <c r="H100" s="37" t="n">
        <v>17</v>
      </c>
    </row>
    <row r="101">
      <c r="A101" s="48" t="n">
        <v>46272</v>
      </c>
      <c r="B101" s="49" t="inlineStr">
        <is>
          <t>MIXTO</t>
        </is>
      </c>
      <c r="C101" s="49" t="inlineStr">
        <is>
          <t>Search Mixto</t>
        </is>
      </c>
      <c r="D101" s="19" t="n">
        <v>2757222.26</v>
      </c>
      <c r="E101" s="21" t="n">
        <v>279</v>
      </c>
      <c r="F101" s="37" t="n">
        <v>231</v>
      </c>
      <c r="G101" s="37" t="n">
        <v>114</v>
      </c>
      <c r="H101" s="37" t="n">
        <v>91</v>
      </c>
    </row>
    <row r="102">
      <c r="A102" s="48" t="n">
        <v>46272</v>
      </c>
      <c r="B102" s="49" t="inlineStr">
        <is>
          <t>MOVIL</t>
        </is>
      </c>
      <c r="C102" s="49" t="inlineStr">
        <is>
          <t>Afiliados</t>
        </is>
      </c>
      <c r="D102" s="19" t="n">
        <v>0</v>
      </c>
      <c r="E102" s="21" t="n">
        <v>0</v>
      </c>
      <c r="F102" s="37" t="n">
        <v>48</v>
      </c>
      <c r="G102" s="37" t="n">
        <v>18</v>
      </c>
      <c r="H102" s="37" t="n">
        <v>28</v>
      </c>
    </row>
    <row r="103">
      <c r="A103" s="48" t="n">
        <v>46272</v>
      </c>
      <c r="B103" s="49" t="inlineStr">
        <is>
          <t>MOVIL</t>
        </is>
      </c>
      <c r="C103" s="49" t="inlineStr">
        <is>
          <t>Bing</t>
        </is>
      </c>
      <c r="D103" s="19" t="n">
        <v>40870.1286</v>
      </c>
      <c r="E103" s="21" t="n">
        <v>8</v>
      </c>
      <c r="F103" s="37" t="n">
        <v>4</v>
      </c>
      <c r="G103" s="37" t="n">
        <v>2</v>
      </c>
      <c r="H103" s="37" t="n">
        <v>1</v>
      </c>
    </row>
    <row r="104">
      <c r="A104" s="48" t="n">
        <v>46272</v>
      </c>
      <c r="B104" s="49" t="inlineStr">
        <is>
          <t>MOVIL</t>
        </is>
      </c>
      <c r="C104" s="49" t="inlineStr">
        <is>
          <t>Meta</t>
        </is>
      </c>
      <c r="D104" s="19" t="n">
        <v>923237.4815999999</v>
      </c>
      <c r="E104" s="21" t="n">
        <v>149</v>
      </c>
      <c r="F104" s="37" t="n">
        <v>119</v>
      </c>
      <c r="G104" s="37" t="n">
        <v>30</v>
      </c>
      <c r="H104" s="37" t="n">
        <v>11</v>
      </c>
    </row>
    <row r="105">
      <c r="A105" s="48" t="n">
        <v>46272</v>
      </c>
      <c r="B105" s="49" t="inlineStr">
        <is>
          <t>MOVIL</t>
        </is>
      </c>
      <c r="C105" s="49" t="inlineStr">
        <is>
          <t>Pmax</t>
        </is>
      </c>
      <c r="D105" s="19" t="n">
        <v>1201457.66</v>
      </c>
      <c r="E105" s="21" t="n">
        <v>66</v>
      </c>
      <c r="F105" s="37" t="n">
        <v>35</v>
      </c>
      <c r="G105" s="37" t="n">
        <v>21</v>
      </c>
      <c r="H105" s="37" t="n">
        <v>8</v>
      </c>
    </row>
    <row r="106">
      <c r="A106" s="48" t="n">
        <v>46272</v>
      </c>
      <c r="B106" s="49" t="inlineStr">
        <is>
          <t>MOVIL</t>
        </is>
      </c>
      <c r="C106" s="49" t="inlineStr">
        <is>
          <t>Search</t>
        </is>
      </c>
      <c r="D106" s="19" t="n">
        <v>11078499.88</v>
      </c>
      <c r="E106" s="21" t="n">
        <v>372</v>
      </c>
      <c r="F106" s="37" t="n">
        <v>256</v>
      </c>
      <c r="G106" s="37" t="n">
        <v>144</v>
      </c>
      <c r="H106" s="37" t="n">
        <v>85</v>
      </c>
    </row>
    <row r="107">
      <c r="A107" s="48" t="n">
        <v>46272</v>
      </c>
      <c r="B107" s="49" t="inlineStr">
        <is>
          <t>MOVIL</t>
        </is>
      </c>
      <c r="C107" s="49" t="inlineStr">
        <is>
          <t>TikTok</t>
        </is>
      </c>
      <c r="D107" s="19" t="n">
        <v>0</v>
      </c>
      <c r="E107" s="21" t="n">
        <v>0</v>
      </c>
      <c r="F107" s="37" t="n">
        <v>7</v>
      </c>
      <c r="G107" s="37" t="n">
        <v>0</v>
      </c>
      <c r="H107" s="37" t="n">
        <v>0</v>
      </c>
    </row>
    <row r="108">
      <c r="A108" s="48" t="n">
        <v>46273</v>
      </c>
      <c r="B108" s="49" t="inlineStr">
        <is>
          <t>FIJO</t>
        </is>
      </c>
      <c r="C108" s="49" t="inlineStr">
        <is>
          <t>*Sin Clasificar*</t>
        </is>
      </c>
      <c r="D108" s="19" t="n">
        <v>0</v>
      </c>
      <c r="E108" s="21" t="n">
        <v>0</v>
      </c>
      <c r="F108" s="37" t="n">
        <v>2</v>
      </c>
      <c r="G108" s="37" t="n">
        <v>0</v>
      </c>
      <c r="H108" s="37" t="n">
        <v>0</v>
      </c>
    </row>
    <row r="109">
      <c r="A109" s="48" t="n">
        <v>46273</v>
      </c>
      <c r="B109" s="49" t="inlineStr">
        <is>
          <t>FIJO</t>
        </is>
      </c>
      <c r="C109" s="49" t="inlineStr">
        <is>
          <t>Afiliados</t>
        </is>
      </c>
      <c r="D109" s="19" t="n">
        <v>0</v>
      </c>
      <c r="E109" s="21" t="n">
        <v>0</v>
      </c>
      <c r="F109" s="37" t="n">
        <v>69</v>
      </c>
      <c r="G109" s="37" t="n">
        <v>27</v>
      </c>
      <c r="H109" s="37" t="n">
        <v>24</v>
      </c>
    </row>
    <row r="110">
      <c r="A110" s="48" t="n">
        <v>46273</v>
      </c>
      <c r="B110" s="49" t="inlineStr">
        <is>
          <t>FIJO</t>
        </is>
      </c>
      <c r="C110" s="49" t="inlineStr">
        <is>
          <t>Bing</t>
        </is>
      </c>
      <c r="D110" s="19" t="n">
        <v>185305.6548</v>
      </c>
      <c r="E110" s="21" t="n">
        <v>20</v>
      </c>
      <c r="F110" s="37" t="n">
        <v>4</v>
      </c>
      <c r="G110" s="37" t="n">
        <v>4</v>
      </c>
      <c r="H110" s="37" t="n">
        <v>5</v>
      </c>
    </row>
    <row r="111">
      <c r="A111" s="48" t="n">
        <v>46273</v>
      </c>
      <c r="B111" s="49" t="inlineStr">
        <is>
          <t>FIJO</t>
        </is>
      </c>
      <c r="C111" s="49" t="inlineStr">
        <is>
          <t>Meta</t>
        </is>
      </c>
      <c r="D111" s="19" t="n">
        <v>826802.1342</v>
      </c>
      <c r="E111" s="21" t="n">
        <v>97</v>
      </c>
      <c r="F111" s="37" t="n">
        <v>61</v>
      </c>
      <c r="G111" s="37" t="n">
        <v>20</v>
      </c>
      <c r="H111" s="37" t="n">
        <v>13</v>
      </c>
    </row>
    <row r="112">
      <c r="A112" s="48" t="n">
        <v>46273</v>
      </c>
      <c r="B112" s="49" t="inlineStr">
        <is>
          <t>FIJO</t>
        </is>
      </c>
      <c r="C112" s="49" t="inlineStr">
        <is>
          <t>Pmax</t>
        </is>
      </c>
      <c r="D112" s="19" t="n">
        <v>1121839.28</v>
      </c>
      <c r="E112" s="21" t="n">
        <v>42</v>
      </c>
      <c r="F112" s="37" t="n">
        <v>46</v>
      </c>
      <c r="G112" s="37" t="n">
        <v>25</v>
      </c>
      <c r="H112" s="37" t="n">
        <v>9</v>
      </c>
    </row>
    <row r="113">
      <c r="A113" s="48" t="n">
        <v>46273</v>
      </c>
      <c r="B113" s="49" t="inlineStr">
        <is>
          <t>FIJO</t>
        </is>
      </c>
      <c r="C113" s="49" t="inlineStr">
        <is>
          <t>Search</t>
        </is>
      </c>
      <c r="D113" s="19" t="n">
        <v>7070272.78</v>
      </c>
      <c r="E113" s="21" t="n">
        <v>264</v>
      </c>
      <c r="F113" s="37" t="n">
        <v>311</v>
      </c>
      <c r="G113" s="37" t="n">
        <v>189</v>
      </c>
      <c r="H113" s="37" t="n">
        <v>145</v>
      </c>
    </row>
    <row r="114">
      <c r="A114" s="48" t="n">
        <v>46273</v>
      </c>
      <c r="B114" s="49" t="inlineStr">
        <is>
          <t>FIJO</t>
        </is>
      </c>
      <c r="C114" s="49" t="inlineStr">
        <is>
          <t>TikTok</t>
        </is>
      </c>
      <c r="D114" s="19" t="n">
        <v>0</v>
      </c>
      <c r="E114" s="21" t="n">
        <v>0</v>
      </c>
      <c r="F114" s="37" t="n">
        <v>4</v>
      </c>
      <c r="G114" s="37" t="n">
        <v>0</v>
      </c>
      <c r="H114" s="37" t="n">
        <v>0</v>
      </c>
    </row>
    <row r="115">
      <c r="A115" s="48" t="n">
        <v>46273</v>
      </c>
      <c r="B115" s="49" t="inlineStr">
        <is>
          <t>MIXTO</t>
        </is>
      </c>
      <c r="C115" s="49" t="inlineStr">
        <is>
          <t>Bing Mixto</t>
        </is>
      </c>
      <c r="D115" s="19" t="n">
        <v>98430.62670000001</v>
      </c>
      <c r="E115" s="21" t="n">
        <v>48</v>
      </c>
      <c r="F115" s="37" t="n">
        <v>19</v>
      </c>
      <c r="G115" s="37" t="n">
        <v>4</v>
      </c>
      <c r="H115" s="37" t="n">
        <v>8</v>
      </c>
    </row>
    <row r="116">
      <c r="A116" s="48" t="n">
        <v>46273</v>
      </c>
      <c r="B116" s="49" t="inlineStr">
        <is>
          <t>MIXTO</t>
        </is>
      </c>
      <c r="C116" s="49" t="inlineStr">
        <is>
          <t>Pmax Mixto</t>
        </is>
      </c>
      <c r="D116" s="19" t="n">
        <v>721163.12</v>
      </c>
      <c r="E116" s="21" t="n">
        <v>68</v>
      </c>
      <c r="F116" s="37" t="n">
        <v>41</v>
      </c>
      <c r="G116" s="37" t="n">
        <v>23</v>
      </c>
      <c r="H116" s="37" t="n">
        <v>22</v>
      </c>
    </row>
    <row r="117">
      <c r="A117" s="48" t="n">
        <v>46273</v>
      </c>
      <c r="B117" s="49" t="inlineStr">
        <is>
          <t>MIXTO</t>
        </is>
      </c>
      <c r="C117" s="49" t="inlineStr">
        <is>
          <t>Search Mixto</t>
        </is>
      </c>
      <c r="D117" s="19" t="n">
        <v>3172866.88</v>
      </c>
      <c r="E117" s="21" t="n">
        <v>331</v>
      </c>
      <c r="F117" s="37" t="n">
        <v>288</v>
      </c>
      <c r="G117" s="37" t="n">
        <v>135</v>
      </c>
      <c r="H117" s="37" t="n">
        <v>121</v>
      </c>
    </row>
    <row r="118">
      <c r="A118" s="48" t="n">
        <v>46273</v>
      </c>
      <c r="B118" s="49" t="inlineStr">
        <is>
          <t>MOVIL</t>
        </is>
      </c>
      <c r="C118" s="49" t="inlineStr">
        <is>
          <t>Afiliados</t>
        </is>
      </c>
      <c r="D118" s="19" t="n">
        <v>0</v>
      </c>
      <c r="E118" s="21" t="n">
        <v>0</v>
      </c>
      <c r="F118" s="37" t="n">
        <v>69</v>
      </c>
      <c r="G118" s="37" t="n">
        <v>35</v>
      </c>
      <c r="H118" s="37" t="n">
        <v>38</v>
      </c>
    </row>
    <row r="119">
      <c r="A119" s="48" t="n">
        <v>46273</v>
      </c>
      <c r="B119" s="49" t="inlineStr">
        <is>
          <t>MOVIL</t>
        </is>
      </c>
      <c r="C119" s="49" t="inlineStr">
        <is>
          <t>Bing</t>
        </is>
      </c>
      <c r="D119" s="19" t="n">
        <v>58751.9919</v>
      </c>
      <c r="E119" s="21" t="n">
        <v>3</v>
      </c>
      <c r="F119" s="37" t="n">
        <v>3</v>
      </c>
      <c r="G119" s="37" t="n">
        <v>4</v>
      </c>
      <c r="H119" s="37" t="n">
        <v>3</v>
      </c>
    </row>
    <row r="120">
      <c r="A120" s="48" t="n">
        <v>46273</v>
      </c>
      <c r="B120" s="49" t="inlineStr">
        <is>
          <t>MOVIL</t>
        </is>
      </c>
      <c r="C120" s="49" t="inlineStr">
        <is>
          <t>Meta</t>
        </is>
      </c>
      <c r="D120" s="19" t="n">
        <v>977280.2361</v>
      </c>
      <c r="E120" s="21" t="n">
        <v>172</v>
      </c>
      <c r="F120" s="37" t="n">
        <v>118</v>
      </c>
      <c r="G120" s="37" t="n">
        <v>28</v>
      </c>
      <c r="H120" s="37" t="n">
        <v>11</v>
      </c>
    </row>
    <row r="121">
      <c r="A121" s="48" t="n">
        <v>46273</v>
      </c>
      <c r="B121" s="49" t="inlineStr">
        <is>
          <t>MOVIL</t>
        </is>
      </c>
      <c r="C121" s="49" t="inlineStr">
        <is>
          <t>Pmax</t>
        </is>
      </c>
      <c r="D121" s="19" t="n">
        <v>630078.34</v>
      </c>
      <c r="E121" s="21" t="n">
        <v>26</v>
      </c>
      <c r="F121" s="37" t="n">
        <v>20</v>
      </c>
      <c r="G121" s="37" t="n">
        <v>8</v>
      </c>
      <c r="H121" s="37" t="n">
        <v>15</v>
      </c>
    </row>
    <row r="122">
      <c r="A122" s="48" t="n">
        <v>46273</v>
      </c>
      <c r="B122" s="49" t="inlineStr">
        <is>
          <t>MOVIL</t>
        </is>
      </c>
      <c r="C122" s="49" t="inlineStr">
        <is>
          <t>Search</t>
        </is>
      </c>
      <c r="D122" s="19" t="n">
        <v>11139194.56</v>
      </c>
      <c r="E122" s="21" t="n">
        <v>375</v>
      </c>
      <c r="F122" s="37" t="n">
        <v>231</v>
      </c>
      <c r="G122" s="37" t="n">
        <v>117</v>
      </c>
      <c r="H122" s="37" t="n">
        <v>98</v>
      </c>
    </row>
    <row r="123">
      <c r="A123" s="48" t="n">
        <v>46273</v>
      </c>
      <c r="B123" s="49" t="inlineStr">
        <is>
          <t>MOVIL</t>
        </is>
      </c>
      <c r="C123" s="49" t="inlineStr">
        <is>
          <t>TikTok</t>
        </is>
      </c>
      <c r="D123" s="19" t="n">
        <v>0</v>
      </c>
      <c r="E123" s="21" t="n">
        <v>0</v>
      </c>
      <c r="F123" s="37" t="n">
        <v>16</v>
      </c>
      <c r="G123" s="37" t="n">
        <v>0</v>
      </c>
      <c r="H123" s="37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6" customWidth="1" min="4" max="4"/>
    <col width="12" customWidth="1" min="5" max="5"/>
    <col width="13" customWidth="1" min="6" max="6"/>
  </cols>
  <sheetData>
    <row r="1">
      <c r="A1" s="34" t="inlineStr">
        <is>
          <t>FECHA</t>
        </is>
      </c>
      <c r="B1" s="34" t="inlineStr">
        <is>
          <t>BLOQUE</t>
        </is>
      </c>
      <c r="C1" s="34" t="inlineStr">
        <is>
          <t>CANAL 2</t>
        </is>
      </c>
      <c r="D1" s="34" t="inlineStr">
        <is>
          <t>META COSTO</t>
        </is>
      </c>
      <c r="E1" s="34" t="inlineStr">
        <is>
          <t>META LEADS</t>
        </is>
      </c>
      <c r="F1" s="34" t="inlineStr">
        <is>
          <t>META VENTAS</t>
        </is>
      </c>
    </row>
    <row r="2">
      <c r="A2" s="48" t="n">
        <v>46266</v>
      </c>
      <c r="B2" s="49" t="inlineStr">
        <is>
          <t>FIJO</t>
        </is>
      </c>
      <c r="C2" s="49" t="inlineStr">
        <is>
          <t>Bing</t>
        </is>
      </c>
      <c r="D2" s="19" t="n">
        <v>308482.7444</v>
      </c>
      <c r="E2" s="21" t="n">
        <v>38.56034304</v>
      </c>
      <c r="F2" s="21" t="n">
        <v>3.856034304</v>
      </c>
    </row>
    <row r="3">
      <c r="A3" s="48" t="n">
        <v>46266</v>
      </c>
      <c r="B3" s="49" t="inlineStr">
        <is>
          <t>FIJO</t>
        </is>
      </c>
      <c r="C3" s="49" t="inlineStr">
        <is>
          <t>Meta</t>
        </is>
      </c>
      <c r="D3" s="19" t="n">
        <v>763274.4475</v>
      </c>
      <c r="E3" s="21" t="n">
        <v>80.34467868</v>
      </c>
      <c r="F3" s="21" t="n">
        <v>8.480827194</v>
      </c>
    </row>
    <row r="4">
      <c r="A4" s="48" t="n">
        <v>46266</v>
      </c>
      <c r="B4" s="49" t="inlineStr">
        <is>
          <t>FIJO</t>
        </is>
      </c>
      <c r="C4" s="49" t="inlineStr">
        <is>
          <t>Pmax</t>
        </is>
      </c>
      <c r="D4" s="19" t="n">
        <v>1762758.539</v>
      </c>
      <c r="E4" s="21" t="n">
        <v>117.5172359</v>
      </c>
      <c r="F4" s="21" t="n">
        <v>17.62758539</v>
      </c>
    </row>
    <row r="5">
      <c r="A5" s="48" t="n">
        <v>46266</v>
      </c>
      <c r="B5" s="49" t="inlineStr">
        <is>
          <t>FIJO</t>
        </is>
      </c>
      <c r="C5" s="49" t="inlineStr">
        <is>
          <t>Search</t>
        </is>
      </c>
      <c r="D5" s="19" t="n">
        <v>10576551.23</v>
      </c>
      <c r="E5" s="21" t="n">
        <v>556.6605913</v>
      </c>
      <c r="F5" s="21" t="n">
        <v>162.7161728</v>
      </c>
    </row>
    <row r="6">
      <c r="A6" s="48" t="n">
        <v>46266</v>
      </c>
      <c r="B6" s="49" t="inlineStr">
        <is>
          <t>MIXTO</t>
        </is>
      </c>
      <c r="C6" s="49" t="inlineStr">
        <is>
          <t>Bing Mixto</t>
        </is>
      </c>
      <c r="D6" s="19" t="n">
        <v>86749.10694</v>
      </c>
      <c r="E6" s="21" t="n">
        <v>7.229092245</v>
      </c>
      <c r="F6" s="21" t="n">
        <v>0</v>
      </c>
    </row>
    <row r="7">
      <c r="A7" s="48" t="n">
        <v>46266</v>
      </c>
      <c r="B7" s="49" t="inlineStr">
        <is>
          <t>MIXTO</t>
        </is>
      </c>
      <c r="C7" s="49" t="inlineStr">
        <is>
          <t>Pmax Mixto</t>
        </is>
      </c>
      <c r="D7" s="19" t="n">
        <v>780741.9625</v>
      </c>
      <c r="E7" s="21" t="n">
        <v>97.59274531</v>
      </c>
      <c r="F7" s="21" t="n">
        <v>0</v>
      </c>
    </row>
    <row r="8">
      <c r="A8" s="48" t="n">
        <v>46266</v>
      </c>
      <c r="B8" s="49" t="inlineStr">
        <is>
          <t>MIXTO</t>
        </is>
      </c>
      <c r="C8" s="49" t="inlineStr">
        <is>
          <t>Search Mixto</t>
        </is>
      </c>
      <c r="D8" s="19" t="n">
        <v>4337455.347</v>
      </c>
      <c r="E8" s="21" t="n">
        <v>834.1260283</v>
      </c>
      <c r="F8" s="21" t="n">
        <v>0</v>
      </c>
    </row>
    <row r="9">
      <c r="A9" s="48" t="n">
        <v>46266</v>
      </c>
      <c r="B9" s="49" t="inlineStr">
        <is>
          <t>MOVIL</t>
        </is>
      </c>
      <c r="C9" s="49" t="inlineStr">
        <is>
          <t>Bing</t>
        </is>
      </c>
      <c r="D9" s="19" t="n">
        <v>213400.7173</v>
      </c>
      <c r="E9" s="21" t="n">
        <v>30.48581676</v>
      </c>
      <c r="F9" s="21" t="n">
        <v>0</v>
      </c>
    </row>
    <row r="10">
      <c r="A10" s="48" t="n">
        <v>46266</v>
      </c>
      <c r="B10" s="49" t="inlineStr">
        <is>
          <t>MOVIL</t>
        </is>
      </c>
      <c r="C10" s="49" t="inlineStr">
        <is>
          <t>Display</t>
        </is>
      </c>
      <c r="D10" s="19" t="n">
        <v>213400.7173</v>
      </c>
      <c r="E10" s="21" t="n">
        <v>29.22096636</v>
      </c>
      <c r="F10" s="21" t="n">
        <v>0</v>
      </c>
    </row>
    <row r="11">
      <c r="A11" s="48" t="n">
        <v>46266</v>
      </c>
      <c r="B11" s="49" t="inlineStr">
        <is>
          <t>MOVIL</t>
        </is>
      </c>
      <c r="C11" s="49" t="inlineStr">
        <is>
          <t>Meta</t>
        </is>
      </c>
      <c r="D11" s="19" t="n">
        <v>853602.8693</v>
      </c>
      <c r="E11" s="21" t="n">
        <v>118.5559541</v>
      </c>
      <c r="F11" s="21" t="n">
        <v>0</v>
      </c>
    </row>
    <row r="12">
      <c r="A12" s="48" t="n">
        <v>46266</v>
      </c>
      <c r="B12" s="49" t="inlineStr">
        <is>
          <t>MOVIL</t>
        </is>
      </c>
      <c r="C12" s="49" t="inlineStr">
        <is>
          <t>Pmax</t>
        </is>
      </c>
      <c r="D12" s="19" t="n">
        <v>1067003.587</v>
      </c>
      <c r="E12" s="21" t="n">
        <v>76.2145419</v>
      </c>
      <c r="F12" s="21" t="n">
        <v>0</v>
      </c>
    </row>
    <row r="13">
      <c r="A13" s="48" t="n">
        <v>46266</v>
      </c>
      <c r="B13" s="49" t="inlineStr">
        <is>
          <t>MOVIL</t>
        </is>
      </c>
      <c r="C13" s="49" t="inlineStr">
        <is>
          <t>Search</t>
        </is>
      </c>
      <c r="D13" s="19" t="n">
        <v>7029491.075</v>
      </c>
      <c r="E13" s="21" t="n">
        <v>453.5155532</v>
      </c>
      <c r="F13" s="21" t="n">
        <v>0</v>
      </c>
    </row>
    <row r="14">
      <c r="A14" s="48" t="n">
        <v>46267</v>
      </c>
      <c r="B14" s="49" t="inlineStr">
        <is>
          <t>FIJO</t>
        </is>
      </c>
      <c r="C14" s="49" t="inlineStr">
        <is>
          <t>Bing</t>
        </is>
      </c>
      <c r="D14" s="19" t="n">
        <v>271297.6898</v>
      </c>
      <c r="E14" s="21" t="n">
        <v>33.91221123</v>
      </c>
      <c r="F14" s="21" t="n">
        <v>3.391221123</v>
      </c>
    </row>
    <row r="15">
      <c r="A15" s="48" t="n">
        <v>46267</v>
      </c>
      <c r="B15" s="49" t="inlineStr">
        <is>
          <t>FIJO</t>
        </is>
      </c>
      <c r="C15" s="49" t="inlineStr">
        <is>
          <t>Meta</t>
        </is>
      </c>
      <c r="D15" s="19" t="n">
        <v>671267.9982</v>
      </c>
      <c r="E15" s="21" t="n">
        <v>70.65978928</v>
      </c>
      <c r="F15" s="21" t="n">
        <v>7.458533313</v>
      </c>
    </row>
    <row r="16">
      <c r="A16" s="48" t="n">
        <v>46267</v>
      </c>
      <c r="B16" s="49" t="inlineStr">
        <is>
          <t>FIJO</t>
        </is>
      </c>
      <c r="C16" s="49" t="inlineStr">
        <is>
          <t>Pmax</t>
        </is>
      </c>
      <c r="D16" s="19" t="n">
        <v>1550272.513</v>
      </c>
      <c r="E16" s="21" t="n">
        <v>103.3515009</v>
      </c>
      <c r="F16" s="21" t="n">
        <v>15.50272513</v>
      </c>
    </row>
    <row r="17">
      <c r="A17" s="48" t="n">
        <v>46267</v>
      </c>
      <c r="B17" s="49" t="inlineStr">
        <is>
          <t>FIJO</t>
        </is>
      </c>
      <c r="C17" s="49" t="inlineStr">
        <is>
          <t>Search</t>
        </is>
      </c>
      <c r="D17" s="19" t="n">
        <v>9301635.079</v>
      </c>
      <c r="E17" s="21" t="n">
        <v>489.559741</v>
      </c>
      <c r="F17" s="21" t="n">
        <v>143.1020781</v>
      </c>
    </row>
    <row r="18">
      <c r="A18" s="48" t="n">
        <v>46267</v>
      </c>
      <c r="B18" s="49" t="inlineStr">
        <is>
          <t>MIXTO</t>
        </is>
      </c>
      <c r="C18" s="49" t="inlineStr">
        <is>
          <t>Bing Mixto</t>
        </is>
      </c>
      <c r="D18" s="19" t="n">
        <v>80067.53992</v>
      </c>
      <c r="E18" s="21" t="n">
        <v>6.672294994</v>
      </c>
      <c r="F18" s="21" t="n">
        <v>0</v>
      </c>
    </row>
    <row r="19">
      <c r="A19" s="48" t="n">
        <v>46267</v>
      </c>
      <c r="B19" s="49" t="inlineStr">
        <is>
          <t>MIXTO</t>
        </is>
      </c>
      <c r="C19" s="49" t="inlineStr">
        <is>
          <t>Pmax Mixto</t>
        </is>
      </c>
      <c r="D19" s="19" t="n">
        <v>720607.8593</v>
      </c>
      <c r="E19" s="21" t="n">
        <v>90.07598240999999</v>
      </c>
      <c r="F19" s="21" t="n">
        <v>0</v>
      </c>
    </row>
    <row r="20">
      <c r="A20" s="48" t="n">
        <v>46267</v>
      </c>
      <c r="B20" s="49" t="inlineStr">
        <is>
          <t>MIXTO</t>
        </is>
      </c>
      <c r="C20" s="49" t="inlineStr">
        <is>
          <t>Search Mixto</t>
        </is>
      </c>
      <c r="D20" s="19" t="n">
        <v>4003376.996</v>
      </c>
      <c r="E20" s="21" t="n">
        <v>769.8801916</v>
      </c>
      <c r="F20" s="21" t="n">
        <v>0</v>
      </c>
    </row>
    <row r="21">
      <c r="A21" s="48" t="n">
        <v>46267</v>
      </c>
      <c r="B21" s="49" t="inlineStr">
        <is>
          <t>MOVIL</t>
        </is>
      </c>
      <c r="C21" s="49" t="inlineStr">
        <is>
          <t>Bing</t>
        </is>
      </c>
      <c r="D21" s="19" t="n">
        <v>206553.6355</v>
      </c>
      <c r="E21" s="21" t="n">
        <v>29.50766221</v>
      </c>
      <c r="F21" s="21" t="n">
        <v>0</v>
      </c>
    </row>
    <row r="22">
      <c r="A22" s="48" t="n">
        <v>46267</v>
      </c>
      <c r="B22" s="49" t="inlineStr">
        <is>
          <t>MOVIL</t>
        </is>
      </c>
      <c r="C22" s="49" t="inlineStr">
        <is>
          <t>Display</t>
        </is>
      </c>
      <c r="D22" s="19" t="n">
        <v>206553.6355</v>
      </c>
      <c r="E22" s="21" t="n">
        <v>28.28339525</v>
      </c>
      <c r="F22" s="21" t="n">
        <v>0</v>
      </c>
    </row>
    <row r="23">
      <c r="A23" s="48" t="n">
        <v>46267</v>
      </c>
      <c r="B23" s="49" t="inlineStr">
        <is>
          <t>MOVIL</t>
        </is>
      </c>
      <c r="C23" s="49" t="inlineStr">
        <is>
          <t>Meta</t>
        </is>
      </c>
      <c r="D23" s="19" t="n">
        <v>826214.5419</v>
      </c>
      <c r="E23" s="21" t="n">
        <v>114.7520197</v>
      </c>
      <c r="F23" s="21" t="n">
        <v>0</v>
      </c>
    </row>
    <row r="24">
      <c r="A24" s="48" t="n">
        <v>46267</v>
      </c>
      <c r="B24" s="49" t="inlineStr">
        <is>
          <t>MOVIL</t>
        </is>
      </c>
      <c r="C24" s="49" t="inlineStr">
        <is>
          <t>Pmax</t>
        </is>
      </c>
      <c r="D24" s="19" t="n">
        <v>1032768.177</v>
      </c>
      <c r="E24" s="21" t="n">
        <v>73.76915553000001</v>
      </c>
      <c r="F24" s="21" t="n">
        <v>0</v>
      </c>
    </row>
    <row r="25">
      <c r="A25" s="48" t="n">
        <v>46267</v>
      </c>
      <c r="B25" s="49" t="inlineStr">
        <is>
          <t>MOVIL</t>
        </is>
      </c>
      <c r="C25" s="49" t="inlineStr">
        <is>
          <t>Search</t>
        </is>
      </c>
      <c r="D25" s="19" t="n">
        <v>6803945.907</v>
      </c>
      <c r="E25" s="21" t="n">
        <v>438.964252</v>
      </c>
      <c r="F25" s="21" t="n">
        <v>0</v>
      </c>
    </row>
    <row r="26">
      <c r="A26" s="48" t="n">
        <v>46268</v>
      </c>
      <c r="B26" s="49" t="inlineStr">
        <is>
          <t>FIJO</t>
        </is>
      </c>
      <c r="C26" s="49" t="inlineStr">
        <is>
          <t>Bing</t>
        </is>
      </c>
      <c r="D26" s="19" t="n">
        <v>267560.4644</v>
      </c>
      <c r="E26" s="21" t="n">
        <v>33.44505804</v>
      </c>
      <c r="F26" s="21" t="n">
        <v>3.344505804</v>
      </c>
    </row>
    <row r="27">
      <c r="A27" s="48" t="n">
        <v>46268</v>
      </c>
      <c r="B27" s="49" t="inlineStr">
        <is>
          <t>FIJO</t>
        </is>
      </c>
      <c r="C27" s="49" t="inlineStr">
        <is>
          <t>Meta</t>
        </is>
      </c>
      <c r="D27" s="19" t="n">
        <v>662021.0347</v>
      </c>
      <c r="E27" s="21" t="n">
        <v>69.6864247</v>
      </c>
      <c r="F27" s="21" t="n">
        <v>7.355789274</v>
      </c>
    </row>
    <row r="28">
      <c r="A28" s="48" t="n">
        <v>46268</v>
      </c>
      <c r="B28" s="49" t="inlineStr">
        <is>
          <t>FIJO</t>
        </is>
      </c>
      <c r="C28" s="49" t="inlineStr">
        <is>
          <t>Pmax</t>
        </is>
      </c>
      <c r="D28" s="19" t="n">
        <v>1528916.939</v>
      </c>
      <c r="E28" s="21" t="n">
        <v>101.9277959</v>
      </c>
      <c r="F28" s="21" t="n">
        <v>15.28916939</v>
      </c>
    </row>
    <row r="29">
      <c r="A29" s="48" t="n">
        <v>46268</v>
      </c>
      <c r="B29" s="49" t="inlineStr">
        <is>
          <t>FIJO</t>
        </is>
      </c>
      <c r="C29" s="49" t="inlineStr">
        <is>
          <t>Search</t>
        </is>
      </c>
      <c r="D29" s="19" t="n">
        <v>9173501.635</v>
      </c>
      <c r="E29" s="21" t="n">
        <v>482.8158755</v>
      </c>
      <c r="F29" s="21" t="n">
        <v>141.1307944</v>
      </c>
    </row>
    <row r="30">
      <c r="A30" s="48" t="n">
        <v>46268</v>
      </c>
      <c r="B30" s="49" t="inlineStr">
        <is>
          <t>MIXTO</t>
        </is>
      </c>
      <c r="C30" s="49" t="inlineStr">
        <is>
          <t>Bing Mixto</t>
        </is>
      </c>
      <c r="D30" s="19" t="n">
        <v>75131.95511</v>
      </c>
      <c r="E30" s="21" t="n">
        <v>6.260996259</v>
      </c>
      <c r="F30" s="21" t="n">
        <v>0</v>
      </c>
    </row>
    <row r="31">
      <c r="A31" s="48" t="n">
        <v>46268</v>
      </c>
      <c r="B31" s="49" t="inlineStr">
        <is>
          <t>MIXTO</t>
        </is>
      </c>
      <c r="C31" s="49" t="inlineStr">
        <is>
          <t>Pmax Mixto</t>
        </is>
      </c>
      <c r="D31" s="19" t="n">
        <v>676187.596</v>
      </c>
      <c r="E31" s="21" t="n">
        <v>84.52344949</v>
      </c>
      <c r="F31" s="21" t="n">
        <v>0</v>
      </c>
    </row>
    <row r="32">
      <c r="A32" s="48" t="n">
        <v>46268</v>
      </c>
      <c r="B32" s="49" t="inlineStr">
        <is>
          <t>MIXTO</t>
        </is>
      </c>
      <c r="C32" s="49" t="inlineStr">
        <is>
          <t>Search Mixto</t>
        </is>
      </c>
      <c r="D32" s="19" t="n">
        <v>3756597.755</v>
      </c>
      <c r="E32" s="21" t="n">
        <v>722.4226453</v>
      </c>
      <c r="F32" s="21" t="n">
        <v>0</v>
      </c>
    </row>
    <row r="33">
      <c r="A33" s="48" t="n">
        <v>46268</v>
      </c>
      <c r="B33" s="49" t="inlineStr">
        <is>
          <t>MOVIL</t>
        </is>
      </c>
      <c r="C33" s="49" t="inlineStr">
        <is>
          <t>Bing</t>
        </is>
      </c>
      <c r="D33" s="19" t="n">
        <v>184545.1581</v>
      </c>
      <c r="E33" s="21" t="n">
        <v>26.36359402</v>
      </c>
      <c r="F33" s="21" t="n">
        <v>0</v>
      </c>
    </row>
    <row r="34">
      <c r="A34" s="48" t="n">
        <v>46268</v>
      </c>
      <c r="B34" s="49" t="inlineStr">
        <is>
          <t>MOVIL</t>
        </is>
      </c>
      <c r="C34" s="49" t="inlineStr">
        <is>
          <t>Display</t>
        </is>
      </c>
      <c r="D34" s="19" t="n">
        <v>184545.1581</v>
      </c>
      <c r="E34" s="21" t="n">
        <v>25.26977381</v>
      </c>
      <c r="F34" s="21" t="n">
        <v>0</v>
      </c>
    </row>
    <row r="35">
      <c r="A35" s="48" t="n">
        <v>46268</v>
      </c>
      <c r="B35" s="49" t="inlineStr">
        <is>
          <t>MOVIL</t>
        </is>
      </c>
      <c r="C35" s="49" t="inlineStr">
        <is>
          <t>Meta</t>
        </is>
      </c>
      <c r="D35" s="19" t="n">
        <v>738180.6324999999</v>
      </c>
      <c r="E35" s="21" t="n">
        <v>102.5250879</v>
      </c>
      <c r="F35" s="21" t="n">
        <v>0</v>
      </c>
    </row>
    <row r="36">
      <c r="A36" s="48" t="n">
        <v>46268</v>
      </c>
      <c r="B36" s="49" t="inlineStr">
        <is>
          <t>MOVIL</t>
        </is>
      </c>
      <c r="C36" s="49" t="inlineStr">
        <is>
          <t>Pmax</t>
        </is>
      </c>
      <c r="D36" s="19" t="n">
        <v>922725.7907</v>
      </c>
      <c r="E36" s="21" t="n">
        <v>65.90898505</v>
      </c>
      <c r="F36" s="21" t="n">
        <v>0</v>
      </c>
    </row>
    <row r="37">
      <c r="A37" s="48" t="n">
        <v>46268</v>
      </c>
      <c r="B37" s="49" t="inlineStr">
        <is>
          <t>MOVIL</t>
        </is>
      </c>
      <c r="C37" s="49" t="inlineStr">
        <is>
          <t>Search</t>
        </is>
      </c>
      <c r="D37" s="19" t="n">
        <v>6078979.295</v>
      </c>
      <c r="E37" s="21" t="n">
        <v>392.1922126</v>
      </c>
      <c r="F37" s="21" t="n">
        <v>0</v>
      </c>
    </row>
    <row r="38">
      <c r="A38" s="48" t="n">
        <v>46269</v>
      </c>
      <c r="B38" s="49" t="inlineStr">
        <is>
          <t>FIJO</t>
        </is>
      </c>
      <c r="C38" s="49" t="inlineStr">
        <is>
          <t>Bing</t>
        </is>
      </c>
      <c r="D38" s="19" t="n">
        <v>244776.2591</v>
      </c>
      <c r="E38" s="21" t="n">
        <v>30.59703239</v>
      </c>
      <c r="F38" s="21" t="n">
        <v>3.059703239</v>
      </c>
    </row>
    <row r="39">
      <c r="A39" s="48" t="n">
        <v>46269</v>
      </c>
      <c r="B39" s="49" t="inlineStr">
        <is>
          <t>FIJO</t>
        </is>
      </c>
      <c r="C39" s="49" t="inlineStr">
        <is>
          <t>Meta</t>
        </is>
      </c>
      <c r="D39" s="19" t="n">
        <v>605646.4011</v>
      </c>
      <c r="E39" s="21" t="n">
        <v>63.75225275</v>
      </c>
      <c r="F39" s="21" t="n">
        <v>6.729404457</v>
      </c>
    </row>
    <row r="40">
      <c r="A40" s="48" t="n">
        <v>46269</v>
      </c>
      <c r="B40" s="49" t="inlineStr">
        <is>
          <t>FIJO</t>
        </is>
      </c>
      <c r="C40" s="49" t="inlineStr">
        <is>
          <t>Pmax</t>
        </is>
      </c>
      <c r="D40" s="19" t="n">
        <v>1398721.481</v>
      </c>
      <c r="E40" s="21" t="n">
        <v>93.24809870999999</v>
      </c>
      <c r="F40" s="21" t="n">
        <v>13.98721481</v>
      </c>
    </row>
    <row r="41">
      <c r="A41" s="48" t="n">
        <v>46269</v>
      </c>
      <c r="B41" s="49" t="inlineStr">
        <is>
          <t>FIJO</t>
        </is>
      </c>
      <c r="C41" s="49" t="inlineStr">
        <is>
          <t>Search</t>
        </is>
      </c>
      <c r="D41" s="19" t="n">
        <v>8392328.884</v>
      </c>
      <c r="E41" s="21" t="n">
        <v>441.7015202</v>
      </c>
      <c r="F41" s="21" t="n">
        <v>129.1127521</v>
      </c>
    </row>
    <row r="42">
      <c r="A42" s="48" t="n">
        <v>46269</v>
      </c>
      <c r="B42" s="49" t="inlineStr">
        <is>
          <t>MIXTO</t>
        </is>
      </c>
      <c r="C42" s="49" t="inlineStr">
        <is>
          <t>Bing Mixto</t>
        </is>
      </c>
      <c r="D42" s="19" t="n">
        <v>69659.91833</v>
      </c>
      <c r="E42" s="21" t="n">
        <v>5.804993194</v>
      </c>
      <c r="F42" s="21" t="n">
        <v>0</v>
      </c>
    </row>
    <row r="43">
      <c r="A43" s="48" t="n">
        <v>46269</v>
      </c>
      <c r="B43" s="49" t="inlineStr">
        <is>
          <t>MIXTO</t>
        </is>
      </c>
      <c r="C43" s="49" t="inlineStr">
        <is>
          <t>Pmax Mixto</t>
        </is>
      </c>
      <c r="D43" s="19" t="n">
        <v>626939.265</v>
      </c>
      <c r="E43" s="21" t="n">
        <v>78.36740811999999</v>
      </c>
      <c r="F43" s="21" t="n">
        <v>0</v>
      </c>
    </row>
    <row r="44">
      <c r="A44" s="48" t="n">
        <v>46269</v>
      </c>
      <c r="B44" s="49" t="inlineStr">
        <is>
          <t>MIXTO</t>
        </is>
      </c>
      <c r="C44" s="49" t="inlineStr">
        <is>
          <t>Search Mixto</t>
        </is>
      </c>
      <c r="D44" s="19" t="n">
        <v>3482995.917</v>
      </c>
      <c r="E44" s="21" t="n">
        <v>669.806907</v>
      </c>
      <c r="F44" s="21" t="n">
        <v>0</v>
      </c>
    </row>
    <row r="45">
      <c r="A45" s="48" t="n">
        <v>46269</v>
      </c>
      <c r="B45" s="49" t="inlineStr">
        <is>
          <t>MOVIL</t>
        </is>
      </c>
      <c r="C45" s="49" t="inlineStr">
        <is>
          <t>Bing</t>
        </is>
      </c>
      <c r="D45" s="19" t="n">
        <v>173459.4066</v>
      </c>
      <c r="E45" s="21" t="n">
        <v>24.77991523</v>
      </c>
      <c r="F45" s="21" t="n">
        <v>0</v>
      </c>
    </row>
    <row r="46">
      <c r="A46" s="48" t="n">
        <v>46269</v>
      </c>
      <c r="B46" s="49" t="inlineStr">
        <is>
          <t>MOVIL</t>
        </is>
      </c>
      <c r="C46" s="49" t="inlineStr">
        <is>
          <t>Display</t>
        </is>
      </c>
      <c r="D46" s="19" t="n">
        <v>173459.4066</v>
      </c>
      <c r="E46" s="21" t="n">
        <v>23.75180153</v>
      </c>
      <c r="F46" s="21" t="n">
        <v>0</v>
      </c>
    </row>
    <row r="47">
      <c r="A47" s="48" t="n">
        <v>46269</v>
      </c>
      <c r="B47" s="49" t="inlineStr">
        <is>
          <t>MOVIL</t>
        </is>
      </c>
      <c r="C47" s="49" t="inlineStr">
        <is>
          <t>Meta</t>
        </is>
      </c>
      <c r="D47" s="19" t="n">
        <v>693837.6263</v>
      </c>
      <c r="E47" s="21" t="n">
        <v>96.36633698999999</v>
      </c>
      <c r="F47" s="21" t="n">
        <v>0</v>
      </c>
    </row>
    <row r="48">
      <c r="A48" s="48" t="n">
        <v>46269</v>
      </c>
      <c r="B48" s="49" t="inlineStr">
        <is>
          <t>MOVIL</t>
        </is>
      </c>
      <c r="C48" s="49" t="inlineStr">
        <is>
          <t>Pmax</t>
        </is>
      </c>
      <c r="D48" s="19" t="n">
        <v>867297.0329</v>
      </c>
      <c r="E48" s="21" t="n">
        <v>61.94978807</v>
      </c>
      <c r="F48" s="21" t="n">
        <v>0</v>
      </c>
    </row>
    <row r="49">
      <c r="A49" s="48" t="n">
        <v>46269</v>
      </c>
      <c r="B49" s="49" t="inlineStr">
        <is>
          <t>MOVIL</t>
        </is>
      </c>
      <c r="C49" s="49" t="inlineStr">
        <is>
          <t>Search</t>
        </is>
      </c>
      <c r="D49" s="19" t="n">
        <v>5713810.927</v>
      </c>
      <c r="E49" s="21" t="n">
        <v>368.632963</v>
      </c>
      <c r="F49" s="21" t="n">
        <v>0</v>
      </c>
    </row>
    <row r="50">
      <c r="A50" s="48" t="n">
        <v>46270</v>
      </c>
      <c r="B50" s="49" t="inlineStr">
        <is>
          <t>FIJO</t>
        </is>
      </c>
      <c r="C50" s="49" t="inlineStr">
        <is>
          <t>Bing</t>
        </is>
      </c>
      <c r="D50" s="19" t="n">
        <v>171805.2234</v>
      </c>
      <c r="E50" s="21" t="n">
        <v>21.47565292</v>
      </c>
      <c r="F50" s="21" t="n">
        <v>2.147565292</v>
      </c>
    </row>
    <row r="51">
      <c r="A51" s="48" t="n">
        <v>46270</v>
      </c>
      <c r="B51" s="49" t="inlineStr">
        <is>
          <t>FIJO</t>
        </is>
      </c>
      <c r="C51" s="49" t="inlineStr">
        <is>
          <t>Meta</t>
        </is>
      </c>
      <c r="D51" s="19" t="n">
        <v>425095.2098</v>
      </c>
      <c r="E51" s="21" t="n">
        <v>44.74686419</v>
      </c>
      <c r="F51" s="21" t="n">
        <v>4.723280109</v>
      </c>
    </row>
    <row r="52">
      <c r="A52" s="48" t="n">
        <v>46270</v>
      </c>
      <c r="B52" s="49" t="inlineStr">
        <is>
          <t>FIJO</t>
        </is>
      </c>
      <c r="C52" s="49" t="inlineStr">
        <is>
          <t>Pmax</t>
        </is>
      </c>
      <c r="D52" s="19" t="n">
        <v>981744.1335999999</v>
      </c>
      <c r="E52" s="21" t="n">
        <v>65.4496089</v>
      </c>
      <c r="F52" s="21" t="n">
        <v>9.817441336</v>
      </c>
    </row>
    <row r="53">
      <c r="A53" s="48" t="n">
        <v>46270</v>
      </c>
      <c r="B53" s="49" t="inlineStr">
        <is>
          <t>FIJO</t>
        </is>
      </c>
      <c r="C53" s="49" t="inlineStr">
        <is>
          <t>Search</t>
        </is>
      </c>
      <c r="D53" s="19" t="n">
        <v>5890464.801</v>
      </c>
      <c r="E53" s="21" t="n">
        <v>310.0244632</v>
      </c>
      <c r="F53" s="21" t="n">
        <v>90.6225354</v>
      </c>
    </row>
    <row r="54">
      <c r="A54" s="48" t="n">
        <v>46270</v>
      </c>
      <c r="B54" s="49" t="inlineStr">
        <is>
          <t>MIXTO</t>
        </is>
      </c>
      <c r="C54" s="49" t="inlineStr">
        <is>
          <t>Bing Mixto</t>
        </is>
      </c>
      <c r="D54" s="19" t="n">
        <v>47725.86614</v>
      </c>
      <c r="E54" s="21" t="n">
        <v>3.977155511</v>
      </c>
      <c r="F54" s="21" t="n">
        <v>0</v>
      </c>
    </row>
    <row r="55">
      <c r="A55" s="48" t="n">
        <v>46270</v>
      </c>
      <c r="B55" s="49" t="inlineStr">
        <is>
          <t>MIXTO</t>
        </is>
      </c>
      <c r="C55" s="49" t="inlineStr">
        <is>
          <t>Pmax Mixto</t>
        </is>
      </c>
      <c r="D55" s="19" t="n">
        <v>429532.7952</v>
      </c>
      <c r="E55" s="21" t="n">
        <v>53.6915994</v>
      </c>
      <c r="F55" s="21" t="n">
        <v>0</v>
      </c>
    </row>
    <row r="56">
      <c r="A56" s="48" t="n">
        <v>46270</v>
      </c>
      <c r="B56" s="49" t="inlineStr">
        <is>
          <t>MIXTO</t>
        </is>
      </c>
      <c r="C56" s="49" t="inlineStr">
        <is>
          <t>Search Mixto</t>
        </is>
      </c>
      <c r="D56" s="19" t="n">
        <v>2386293.307</v>
      </c>
      <c r="E56" s="21" t="n">
        <v>458.902559</v>
      </c>
      <c r="F56" s="21" t="n">
        <v>0</v>
      </c>
    </row>
    <row r="57">
      <c r="A57" s="48" t="n">
        <v>46270</v>
      </c>
      <c r="B57" s="49" t="inlineStr">
        <is>
          <t>MOVIL</t>
        </is>
      </c>
      <c r="C57" s="49" t="inlineStr">
        <is>
          <t>Bing</t>
        </is>
      </c>
      <c r="D57" s="19" t="n">
        <v>115911.314</v>
      </c>
      <c r="E57" s="21" t="n">
        <v>16.55875914</v>
      </c>
      <c r="F57" s="21" t="n">
        <v>0</v>
      </c>
    </row>
    <row r="58">
      <c r="A58" s="48" t="n">
        <v>46270</v>
      </c>
      <c r="B58" s="49" t="inlineStr">
        <is>
          <t>MOVIL</t>
        </is>
      </c>
      <c r="C58" s="49" t="inlineStr">
        <is>
          <t>Display</t>
        </is>
      </c>
      <c r="D58" s="19" t="n">
        <v>115911.314</v>
      </c>
      <c r="E58" s="21" t="n">
        <v>15.87173956</v>
      </c>
      <c r="F58" s="21" t="n">
        <v>0</v>
      </c>
    </row>
    <row r="59">
      <c r="A59" s="48" t="n">
        <v>46270</v>
      </c>
      <c r="B59" s="49" t="inlineStr">
        <is>
          <t>MOVIL</t>
        </is>
      </c>
      <c r="C59" s="49" t="inlineStr">
        <is>
          <t>Meta</t>
        </is>
      </c>
      <c r="D59" s="19" t="n">
        <v>463645.256</v>
      </c>
      <c r="E59" s="21" t="n">
        <v>64.39517444000001</v>
      </c>
      <c r="F59" s="21" t="n">
        <v>0</v>
      </c>
    </row>
    <row r="60">
      <c r="A60" s="48" t="n">
        <v>46270</v>
      </c>
      <c r="B60" s="49" t="inlineStr">
        <is>
          <t>MOVIL</t>
        </is>
      </c>
      <c r="C60" s="49" t="inlineStr">
        <is>
          <t>Pmax</t>
        </is>
      </c>
      <c r="D60" s="19" t="n">
        <v>579556.5699</v>
      </c>
      <c r="E60" s="21" t="n">
        <v>41.39689785</v>
      </c>
      <c r="F60" s="21" t="n">
        <v>0</v>
      </c>
    </row>
    <row r="61">
      <c r="A61" s="48" t="n">
        <v>46270</v>
      </c>
      <c r="B61" s="49" t="inlineStr">
        <is>
          <t>MOVIL</t>
        </is>
      </c>
      <c r="C61" s="49" t="inlineStr">
        <is>
          <t>Search</t>
        </is>
      </c>
      <c r="D61" s="19" t="n">
        <v>3818157.49</v>
      </c>
      <c r="E61" s="21" t="n">
        <v>246.3327413</v>
      </c>
      <c r="F61" s="21" t="n">
        <v>0</v>
      </c>
    </row>
    <row r="62">
      <c r="A62" s="48" t="n">
        <v>46271</v>
      </c>
      <c r="B62" s="49" t="inlineStr">
        <is>
          <t>FIJO</t>
        </is>
      </c>
      <c r="C62" s="49" t="inlineStr">
        <is>
          <t>Bing</t>
        </is>
      </c>
      <c r="D62" s="19" t="n">
        <v>154563.1221</v>
      </c>
      <c r="E62" s="21" t="n">
        <v>19.32039026</v>
      </c>
      <c r="F62" s="21" t="n">
        <v>1.932039026</v>
      </c>
    </row>
    <row r="63">
      <c r="A63" s="48" t="n">
        <v>46271</v>
      </c>
      <c r="B63" s="49" t="inlineStr">
        <is>
          <t>FIJO</t>
        </is>
      </c>
      <c r="C63" s="49" t="inlineStr">
        <is>
          <t>Meta</t>
        </is>
      </c>
      <c r="D63" s="19" t="n">
        <v>382433.325</v>
      </c>
      <c r="E63" s="21" t="n">
        <v>40.25613947</v>
      </c>
      <c r="F63" s="21" t="n">
        <v>4.249259166</v>
      </c>
    </row>
    <row r="64">
      <c r="A64" s="48" t="n">
        <v>46271</v>
      </c>
      <c r="B64" s="49" t="inlineStr">
        <is>
          <t>FIJO</t>
        </is>
      </c>
      <c r="C64" s="49" t="inlineStr">
        <is>
          <t>Pmax</t>
        </is>
      </c>
      <c r="D64" s="19" t="n">
        <v>883217.8406</v>
      </c>
      <c r="E64" s="21" t="n">
        <v>58.88118937</v>
      </c>
      <c r="F64" s="21" t="n">
        <v>8.832178406000001</v>
      </c>
    </row>
    <row r="65">
      <c r="A65" s="48" t="n">
        <v>46271</v>
      </c>
      <c r="B65" s="49" t="inlineStr">
        <is>
          <t>FIJO</t>
        </is>
      </c>
      <c r="C65" s="49" t="inlineStr">
        <is>
          <t>Search</t>
        </is>
      </c>
      <c r="D65" s="19" t="n">
        <v>5299307.043</v>
      </c>
      <c r="E65" s="21" t="n">
        <v>278.910897</v>
      </c>
      <c r="F65" s="21" t="n">
        <v>81.52780067</v>
      </c>
    </row>
    <row r="66">
      <c r="A66" s="48" t="n">
        <v>46271</v>
      </c>
      <c r="B66" s="49" t="inlineStr">
        <is>
          <t>MIXTO</t>
        </is>
      </c>
      <c r="C66" s="49" t="inlineStr">
        <is>
          <t>Bing Mixto</t>
        </is>
      </c>
      <c r="D66" s="19" t="n">
        <v>45262.70881</v>
      </c>
      <c r="E66" s="21" t="n">
        <v>3.771892401</v>
      </c>
      <c r="F66" s="21" t="n">
        <v>0</v>
      </c>
    </row>
    <row r="67">
      <c r="A67" s="48" t="n">
        <v>46271</v>
      </c>
      <c r="B67" s="49" t="inlineStr">
        <is>
          <t>MIXTO</t>
        </is>
      </c>
      <c r="C67" s="49" t="inlineStr">
        <is>
          <t>Pmax Mixto</t>
        </is>
      </c>
      <c r="D67" s="19" t="n">
        <v>407364.3793</v>
      </c>
      <c r="E67" s="21" t="n">
        <v>50.92054741</v>
      </c>
      <c r="F67" s="21" t="n">
        <v>0</v>
      </c>
    </row>
    <row r="68">
      <c r="A68" s="48" t="n">
        <v>46271</v>
      </c>
      <c r="B68" s="49" t="inlineStr">
        <is>
          <t>MIXTO</t>
        </is>
      </c>
      <c r="C68" s="49" t="inlineStr">
        <is>
          <t>Search Mixto</t>
        </is>
      </c>
      <c r="D68" s="19" t="n">
        <v>2263135.441</v>
      </c>
      <c r="E68" s="21" t="n">
        <v>435.218354</v>
      </c>
      <c r="F68" s="21" t="n">
        <v>0</v>
      </c>
    </row>
    <row r="69">
      <c r="A69" s="48" t="n">
        <v>46271</v>
      </c>
      <c r="B69" s="49" t="inlineStr">
        <is>
          <t>MOVIL</t>
        </is>
      </c>
      <c r="C69" s="49" t="inlineStr">
        <is>
          <t>Bing</t>
        </is>
      </c>
      <c r="D69" s="19" t="n">
        <v>115911.314</v>
      </c>
      <c r="E69" s="21" t="n">
        <v>16.55875914</v>
      </c>
      <c r="F69" s="21" t="n">
        <v>0</v>
      </c>
    </row>
    <row r="70">
      <c r="A70" s="48" t="n">
        <v>46271</v>
      </c>
      <c r="B70" s="49" t="inlineStr">
        <is>
          <t>MOVIL</t>
        </is>
      </c>
      <c r="C70" s="49" t="inlineStr">
        <is>
          <t>Display</t>
        </is>
      </c>
      <c r="D70" s="19" t="n">
        <v>115911.314</v>
      </c>
      <c r="E70" s="21" t="n">
        <v>15.87173956</v>
      </c>
      <c r="F70" s="21" t="n">
        <v>0</v>
      </c>
    </row>
    <row r="71">
      <c r="A71" s="48" t="n">
        <v>46271</v>
      </c>
      <c r="B71" s="49" t="inlineStr">
        <is>
          <t>MOVIL</t>
        </is>
      </c>
      <c r="C71" s="49" t="inlineStr">
        <is>
          <t>Meta</t>
        </is>
      </c>
      <c r="D71" s="19" t="n">
        <v>463645.256</v>
      </c>
      <c r="E71" s="21" t="n">
        <v>64.39517444000001</v>
      </c>
      <c r="F71" s="21" t="n">
        <v>0</v>
      </c>
    </row>
    <row r="72">
      <c r="A72" s="48" t="n">
        <v>46271</v>
      </c>
      <c r="B72" s="49" t="inlineStr">
        <is>
          <t>MOVIL</t>
        </is>
      </c>
      <c r="C72" s="49" t="inlineStr">
        <is>
          <t>Pmax</t>
        </is>
      </c>
      <c r="D72" s="19" t="n">
        <v>579556.5699</v>
      </c>
      <c r="E72" s="21" t="n">
        <v>41.39689785</v>
      </c>
      <c r="F72" s="21" t="n">
        <v>0</v>
      </c>
    </row>
    <row r="73">
      <c r="A73" s="48" t="n">
        <v>46271</v>
      </c>
      <c r="B73" s="49" t="inlineStr">
        <is>
          <t>MOVIL</t>
        </is>
      </c>
      <c r="C73" s="49" t="inlineStr">
        <is>
          <t>Search</t>
        </is>
      </c>
      <c r="D73" s="19" t="n">
        <v>3818157.49</v>
      </c>
      <c r="E73" s="21" t="n">
        <v>246.3327413</v>
      </c>
      <c r="F73" s="21" t="n">
        <v>0</v>
      </c>
    </row>
    <row r="74">
      <c r="A74" s="48" t="n">
        <v>46272</v>
      </c>
      <c r="B74" s="49" t="inlineStr">
        <is>
          <t>FIJO</t>
        </is>
      </c>
      <c r="C74" s="49" t="inlineStr">
        <is>
          <t>Bing</t>
        </is>
      </c>
      <c r="D74" s="19" t="n">
        <v>366394.652</v>
      </c>
      <c r="E74" s="21" t="n">
        <v>45.7993315</v>
      </c>
      <c r="F74" s="21" t="n">
        <v>4.57993315</v>
      </c>
    </row>
    <row r="75">
      <c r="A75" s="48" t="n">
        <v>46272</v>
      </c>
      <c r="B75" s="49" t="inlineStr">
        <is>
          <t>FIJO</t>
        </is>
      </c>
      <c r="C75" s="49" t="inlineStr">
        <is>
          <t>Meta</t>
        </is>
      </c>
      <c r="D75" s="19" t="n">
        <v>906565.0532</v>
      </c>
      <c r="E75" s="21" t="n">
        <v>95.42790033999999</v>
      </c>
      <c r="F75" s="21" t="n">
        <v>10.07294504</v>
      </c>
    </row>
    <row r="76">
      <c r="A76" s="48" t="n">
        <v>46272</v>
      </c>
      <c r="B76" s="49" t="inlineStr">
        <is>
          <t>FIJO</t>
        </is>
      </c>
      <c r="C76" s="49" t="inlineStr">
        <is>
          <t>Pmax</t>
        </is>
      </c>
      <c r="D76" s="19" t="n">
        <v>2093683.726</v>
      </c>
      <c r="E76" s="21" t="n">
        <v>139.578915</v>
      </c>
      <c r="F76" s="21" t="n">
        <v>20.93683726</v>
      </c>
    </row>
    <row r="77">
      <c r="A77" s="48" t="n">
        <v>46272</v>
      </c>
      <c r="B77" s="49" t="inlineStr">
        <is>
          <t>FIJO</t>
        </is>
      </c>
      <c r="C77" s="49" t="inlineStr">
        <is>
          <t>Search</t>
        </is>
      </c>
      <c r="D77" s="19" t="n">
        <v>12562102.35</v>
      </c>
      <c r="E77" s="21" t="n">
        <v>661.1632818</v>
      </c>
      <c r="F77" s="21" t="n">
        <v>193.2631131</v>
      </c>
    </row>
    <row r="78">
      <c r="A78" s="48" t="n">
        <v>46272</v>
      </c>
      <c r="B78" s="49" t="inlineStr">
        <is>
          <t>MIXTO</t>
        </is>
      </c>
      <c r="C78" s="49" t="inlineStr">
        <is>
          <t>Bing Mixto</t>
        </is>
      </c>
      <c r="D78" s="19" t="n">
        <v>101804.1081</v>
      </c>
      <c r="E78" s="21" t="n">
        <v>8.483675678000001</v>
      </c>
      <c r="F78" s="21" t="n">
        <v>0</v>
      </c>
    </row>
    <row r="79">
      <c r="A79" s="48" t="n">
        <v>46272</v>
      </c>
      <c r="B79" s="49" t="inlineStr">
        <is>
          <t>MIXTO</t>
        </is>
      </c>
      <c r="C79" s="49" t="inlineStr">
        <is>
          <t>Pmax Mixto</t>
        </is>
      </c>
      <c r="D79" s="19" t="n">
        <v>916236.9733</v>
      </c>
      <c r="E79" s="21" t="n">
        <v>114.5296217</v>
      </c>
      <c r="F79" s="21" t="n">
        <v>0</v>
      </c>
    </row>
    <row r="80">
      <c r="A80" s="48" t="n">
        <v>46272</v>
      </c>
      <c r="B80" s="49" t="inlineStr">
        <is>
          <t>MIXTO</t>
        </is>
      </c>
      <c r="C80" s="49" t="inlineStr">
        <is>
          <t>Search Mixto</t>
        </is>
      </c>
      <c r="D80" s="19" t="n">
        <v>5090205.407</v>
      </c>
      <c r="E80" s="21" t="n">
        <v>978.8856552</v>
      </c>
      <c r="F80" s="21" t="n">
        <v>0</v>
      </c>
    </row>
    <row r="81">
      <c r="A81" s="48" t="n">
        <v>46272</v>
      </c>
      <c r="B81" s="49" t="inlineStr">
        <is>
          <t>MOVIL</t>
        </is>
      </c>
      <c r="C81" s="49" t="inlineStr">
        <is>
          <t>Bing</t>
        </is>
      </c>
      <c r="D81" s="19" t="n">
        <v>247310.075</v>
      </c>
      <c r="E81" s="21" t="n">
        <v>35.33001071</v>
      </c>
      <c r="F81" s="21" t="n">
        <v>0</v>
      </c>
    </row>
    <row r="82">
      <c r="A82" s="48" t="n">
        <v>46272</v>
      </c>
      <c r="B82" s="49" t="inlineStr">
        <is>
          <t>MOVIL</t>
        </is>
      </c>
      <c r="C82" s="49" t="inlineStr">
        <is>
          <t>Display</t>
        </is>
      </c>
      <c r="D82" s="19" t="n">
        <v>247310.075</v>
      </c>
      <c r="E82" s="21" t="n">
        <v>33.86417568</v>
      </c>
      <c r="F82" s="21" t="n">
        <v>0</v>
      </c>
    </row>
    <row r="83">
      <c r="A83" s="48" t="n">
        <v>46272</v>
      </c>
      <c r="B83" s="49" t="inlineStr">
        <is>
          <t>MOVIL</t>
        </is>
      </c>
      <c r="C83" s="49" t="inlineStr">
        <is>
          <t>Meta</t>
        </is>
      </c>
      <c r="D83" s="19" t="n">
        <v>989240.3</v>
      </c>
      <c r="E83" s="21" t="n">
        <v>137.3944861</v>
      </c>
      <c r="F83" s="21" t="n">
        <v>0</v>
      </c>
    </row>
    <row r="84">
      <c r="A84" s="48" t="n">
        <v>46272</v>
      </c>
      <c r="B84" s="49" t="inlineStr">
        <is>
          <t>MOVIL</t>
        </is>
      </c>
      <c r="C84" s="49" t="inlineStr">
        <is>
          <t>Pmax</t>
        </is>
      </c>
      <c r="D84" s="19" t="n">
        <v>1236550.375</v>
      </c>
      <c r="E84" s="21" t="n">
        <v>88.32502678</v>
      </c>
      <c r="F84" s="21" t="n">
        <v>0</v>
      </c>
    </row>
    <row r="85">
      <c r="A85" s="48" t="n">
        <v>46272</v>
      </c>
      <c r="B85" s="49" t="inlineStr">
        <is>
          <t>MOVIL</t>
        </is>
      </c>
      <c r="C85" s="49" t="inlineStr">
        <is>
          <t>Search</t>
        </is>
      </c>
      <c r="D85" s="19" t="n">
        <v>8146476.67</v>
      </c>
      <c r="E85" s="21" t="n">
        <v>525.5791400000001</v>
      </c>
      <c r="F85" s="21" t="n">
        <v>0</v>
      </c>
    </row>
    <row r="86">
      <c r="A86" s="48" t="n">
        <v>46273</v>
      </c>
      <c r="B86" s="49" t="inlineStr">
        <is>
          <t>FIJO</t>
        </is>
      </c>
      <c r="C86" s="49" t="inlineStr">
        <is>
          <t>Bing</t>
        </is>
      </c>
      <c r="D86" s="19" t="n">
        <v>307278.8762</v>
      </c>
      <c r="E86" s="21" t="n">
        <v>38.40985953</v>
      </c>
      <c r="F86" s="21" t="n">
        <v>3.840985953</v>
      </c>
    </row>
    <row r="87">
      <c r="A87" s="48" t="n">
        <v>46273</v>
      </c>
      <c r="B87" s="49" t="inlineStr">
        <is>
          <t>FIJO</t>
        </is>
      </c>
      <c r="C87" s="49" t="inlineStr">
        <is>
          <t>Meta</t>
        </is>
      </c>
      <c r="D87" s="19" t="n">
        <v>760295.7337</v>
      </c>
      <c r="E87" s="21" t="n">
        <v>80.03112985999999</v>
      </c>
      <c r="F87" s="21" t="n">
        <v>8.447730375000001</v>
      </c>
    </row>
    <row r="88">
      <c r="A88" s="48" t="n">
        <v>46273</v>
      </c>
      <c r="B88" s="49" t="inlineStr">
        <is>
          <t>FIJO</t>
        </is>
      </c>
      <c r="C88" s="49" t="inlineStr">
        <is>
          <t>Pmax</t>
        </is>
      </c>
      <c r="D88" s="19" t="n">
        <v>1755879.293</v>
      </c>
      <c r="E88" s="21" t="n">
        <v>117.0586195</v>
      </c>
      <c r="F88" s="21" t="n">
        <v>17.55879293</v>
      </c>
    </row>
    <row r="89">
      <c r="A89" s="48" t="n">
        <v>46273</v>
      </c>
      <c r="B89" s="49" t="inlineStr">
        <is>
          <t>FIJO</t>
        </is>
      </c>
      <c r="C89" s="49" t="inlineStr">
        <is>
          <t>Search</t>
        </is>
      </c>
      <c r="D89" s="19" t="n">
        <v>10535275.76</v>
      </c>
      <c r="E89" s="21" t="n">
        <v>554.4881977</v>
      </c>
      <c r="F89" s="21" t="n">
        <v>162.0811655</v>
      </c>
    </row>
    <row r="90">
      <c r="A90" s="48" t="n">
        <v>46273</v>
      </c>
      <c r="B90" s="49" t="inlineStr">
        <is>
          <t>MIXTO</t>
        </is>
      </c>
      <c r="C90" s="49" t="inlineStr">
        <is>
          <t>Bing Mixto</t>
        </is>
      </c>
      <c r="D90" s="19" t="n">
        <v>85598.97123</v>
      </c>
      <c r="E90" s="21" t="n">
        <v>7.133247602</v>
      </c>
      <c r="F90" s="21" t="n">
        <v>0</v>
      </c>
    </row>
    <row r="91">
      <c r="A91" s="48" t="n">
        <v>46273</v>
      </c>
      <c r="B91" s="49" t="inlineStr">
        <is>
          <t>MIXTO</t>
        </is>
      </c>
      <c r="C91" s="49" t="inlineStr">
        <is>
          <t>Pmax Mixto</t>
        </is>
      </c>
      <c r="D91" s="19" t="n">
        <v>770390.7411</v>
      </c>
      <c r="E91" s="21" t="n">
        <v>96.29884263</v>
      </c>
      <c r="F91" s="21" t="n">
        <v>0</v>
      </c>
    </row>
    <row r="92">
      <c r="A92" s="48" t="n">
        <v>46273</v>
      </c>
      <c r="B92" s="49" t="inlineStr">
        <is>
          <t>MIXTO</t>
        </is>
      </c>
      <c r="C92" s="49" t="inlineStr">
        <is>
          <t>Search Mixto</t>
        </is>
      </c>
      <c r="D92" s="19" t="n">
        <v>4279948.561</v>
      </c>
      <c r="E92" s="21" t="n">
        <v>823.0670311</v>
      </c>
      <c r="F92" s="21" t="n">
        <v>0</v>
      </c>
    </row>
    <row r="93">
      <c r="A93" s="48" t="n">
        <v>46273</v>
      </c>
      <c r="B93" s="49" t="inlineStr">
        <is>
          <t>MOVIL</t>
        </is>
      </c>
      <c r="C93" s="49" t="inlineStr">
        <is>
          <t>Bing</t>
        </is>
      </c>
      <c r="D93" s="19" t="n">
        <v>208509.9446</v>
      </c>
      <c r="E93" s="21" t="n">
        <v>29.78713494</v>
      </c>
      <c r="F93" s="21" t="n">
        <v>0</v>
      </c>
    </row>
    <row r="94">
      <c r="A94" s="48" t="n">
        <v>46273</v>
      </c>
      <c r="B94" s="49" t="inlineStr">
        <is>
          <t>MOVIL</t>
        </is>
      </c>
      <c r="C94" s="49" t="inlineStr">
        <is>
          <t>Display</t>
        </is>
      </c>
      <c r="D94" s="19" t="n">
        <v>208509.9446</v>
      </c>
      <c r="E94" s="21" t="n">
        <v>28.55127271</v>
      </c>
      <c r="F94" s="21" t="n">
        <v>0</v>
      </c>
    </row>
    <row r="95">
      <c r="A95" s="48" t="n">
        <v>46273</v>
      </c>
      <c r="B95" s="49" t="inlineStr">
        <is>
          <t>MOVIL</t>
        </is>
      </c>
      <c r="C95" s="49" t="inlineStr">
        <is>
          <t>Meta</t>
        </is>
      </c>
      <c r="D95" s="19" t="n">
        <v>834039.7783</v>
      </c>
      <c r="E95" s="21" t="n">
        <v>115.8388581</v>
      </c>
      <c r="F95" s="21" t="n">
        <v>0</v>
      </c>
    </row>
    <row r="96">
      <c r="A96" s="48" t="n">
        <v>46273</v>
      </c>
      <c r="B96" s="49" t="inlineStr">
        <is>
          <t>MOVIL</t>
        </is>
      </c>
      <c r="C96" s="49" t="inlineStr">
        <is>
          <t>Pmax</t>
        </is>
      </c>
      <c r="D96" s="19" t="n">
        <v>1042549.723</v>
      </c>
      <c r="E96" s="21" t="n">
        <v>74.46783735</v>
      </c>
      <c r="F96" s="21" t="n">
        <v>0</v>
      </c>
    </row>
    <row r="97">
      <c r="A97" s="48" t="n">
        <v>46273</v>
      </c>
      <c r="B97" s="49" t="inlineStr">
        <is>
          <t>MOVIL</t>
        </is>
      </c>
      <c r="C97" s="49" t="inlineStr">
        <is>
          <t>Search</t>
        </is>
      </c>
      <c r="D97" s="19" t="n">
        <v>6868387.383</v>
      </c>
      <c r="E97" s="21" t="n">
        <v>443.1217667</v>
      </c>
      <c r="F97" s="21" t="n">
        <v>0</v>
      </c>
    </row>
    <row r="98">
      <c r="A98" s="48" t="n">
        <v>46274</v>
      </c>
      <c r="B98" s="49" t="inlineStr">
        <is>
          <t>FIJO</t>
        </is>
      </c>
      <c r="C98" s="49" t="inlineStr">
        <is>
          <t>Bing</t>
        </is>
      </c>
      <c r="D98" s="19" t="n">
        <v>270331.5163</v>
      </c>
      <c r="E98" s="21" t="n">
        <v>33.79143954</v>
      </c>
      <c r="F98" s="21" t="n">
        <v>3.379143954</v>
      </c>
    </row>
    <row r="99">
      <c r="A99" s="48" t="n">
        <v>46274</v>
      </c>
      <c r="B99" s="49" t="inlineStr">
        <is>
          <t>FIJO</t>
        </is>
      </c>
      <c r="C99" s="49" t="inlineStr">
        <is>
          <t>Meta</t>
        </is>
      </c>
      <c r="D99" s="19" t="n">
        <v>668877.409</v>
      </c>
      <c r="E99" s="21" t="n">
        <v>70.40814832</v>
      </c>
      <c r="F99" s="21" t="n">
        <v>7.431971211</v>
      </c>
    </row>
    <row r="100">
      <c r="A100" s="48" t="n">
        <v>46274</v>
      </c>
      <c r="B100" s="49" t="inlineStr">
        <is>
          <t>FIJO</t>
        </is>
      </c>
      <c r="C100" s="49" t="inlineStr">
        <is>
          <t>Pmax</t>
        </is>
      </c>
      <c r="D100" s="19" t="n">
        <v>1544751.522</v>
      </c>
      <c r="E100" s="21" t="n">
        <v>102.9834348</v>
      </c>
      <c r="F100" s="21" t="n">
        <v>15.44751522</v>
      </c>
    </row>
    <row r="101">
      <c r="A101" s="48" t="n">
        <v>46274</v>
      </c>
      <c r="B101" s="49" t="inlineStr">
        <is>
          <t>FIJO</t>
        </is>
      </c>
      <c r="C101" s="49" t="inlineStr">
        <is>
          <t>Search</t>
        </is>
      </c>
      <c r="D101" s="19" t="n">
        <v>9268509.131999999</v>
      </c>
      <c r="E101" s="21" t="n">
        <v>487.8162701</v>
      </c>
      <c r="F101" s="21" t="n">
        <v>142.5924482</v>
      </c>
    </row>
    <row r="102">
      <c r="A102" s="48" t="n">
        <v>46274</v>
      </c>
      <c r="B102" s="49" t="inlineStr">
        <is>
          <t>MIXTO</t>
        </is>
      </c>
      <c r="C102" s="49" t="inlineStr">
        <is>
          <t>Bing Mixto</t>
        </is>
      </c>
      <c r="D102" s="19" t="n">
        <v>78397.07302</v>
      </c>
      <c r="E102" s="21" t="n">
        <v>6.533089418</v>
      </c>
      <c r="F102" s="21" t="n">
        <v>0</v>
      </c>
    </row>
    <row r="103">
      <c r="A103" s="48" t="n">
        <v>46274</v>
      </c>
      <c r="B103" s="49" t="inlineStr">
        <is>
          <t>MIXTO</t>
        </is>
      </c>
      <c r="C103" s="49" t="inlineStr">
        <is>
          <t>Pmax Mixto</t>
        </is>
      </c>
      <c r="D103" s="19" t="n">
        <v>705573.6572</v>
      </c>
      <c r="E103" s="21" t="n">
        <v>88.19670714999999</v>
      </c>
      <c r="F103" s="21" t="n">
        <v>0</v>
      </c>
    </row>
    <row r="104">
      <c r="A104" s="48" t="n">
        <v>46274</v>
      </c>
      <c r="B104" s="49" t="inlineStr">
        <is>
          <t>MIXTO</t>
        </is>
      </c>
      <c r="C104" s="49" t="inlineStr">
        <is>
          <t>Search Mixto</t>
        </is>
      </c>
      <c r="D104" s="19" t="n">
        <v>3919853.651</v>
      </c>
      <c r="E104" s="21" t="n">
        <v>753.8180098</v>
      </c>
      <c r="F104" s="21" t="n">
        <v>0</v>
      </c>
    </row>
    <row r="105">
      <c r="A105" s="48" t="n">
        <v>46274</v>
      </c>
      <c r="B105" s="49" t="inlineStr">
        <is>
          <t>MOVIL</t>
        </is>
      </c>
      <c r="C105" s="49" t="inlineStr">
        <is>
          <t>Bing</t>
        </is>
      </c>
      <c r="D105" s="19" t="n">
        <v>198891.4248</v>
      </c>
      <c r="E105" s="21" t="n">
        <v>28.41306069</v>
      </c>
      <c r="F105" s="21" t="n">
        <v>0</v>
      </c>
    </row>
    <row r="106">
      <c r="A106" s="48" t="n">
        <v>46274</v>
      </c>
      <c r="B106" s="49" t="inlineStr">
        <is>
          <t>MOVIL</t>
        </is>
      </c>
      <c r="C106" s="49" t="inlineStr">
        <is>
          <t>Display</t>
        </is>
      </c>
      <c r="D106" s="19" t="n">
        <v>198891.4248</v>
      </c>
      <c r="E106" s="21" t="n">
        <v>27.23420852</v>
      </c>
      <c r="F106" s="21" t="n">
        <v>0</v>
      </c>
    </row>
    <row r="107">
      <c r="A107" s="48" t="n">
        <v>46274</v>
      </c>
      <c r="B107" s="49" t="inlineStr">
        <is>
          <t>MOVIL</t>
        </is>
      </c>
      <c r="C107" s="49" t="inlineStr">
        <is>
          <t>Meta</t>
        </is>
      </c>
      <c r="D107" s="19" t="n">
        <v>795565.6994</v>
      </c>
      <c r="E107" s="21" t="n">
        <v>110.495236</v>
      </c>
      <c r="F107" s="21" t="n">
        <v>0</v>
      </c>
    </row>
    <row r="108">
      <c r="A108" s="48" t="n">
        <v>46274</v>
      </c>
      <c r="B108" s="49" t="inlineStr">
        <is>
          <t>MOVIL</t>
        </is>
      </c>
      <c r="C108" s="49" t="inlineStr">
        <is>
          <t>Pmax</t>
        </is>
      </c>
      <c r="D108" s="19" t="n">
        <v>994457.1242</v>
      </c>
      <c r="E108" s="21" t="n">
        <v>71.03265173</v>
      </c>
      <c r="F108" s="21" t="n">
        <v>0</v>
      </c>
    </row>
    <row r="109">
      <c r="A109" s="48" t="n">
        <v>46274</v>
      </c>
      <c r="B109" s="49" t="inlineStr">
        <is>
          <t>MOVIL</t>
        </is>
      </c>
      <c r="C109" s="49" t="inlineStr">
        <is>
          <t>Search</t>
        </is>
      </c>
      <c r="D109" s="19" t="n">
        <v>6551550.123</v>
      </c>
      <c r="E109" s="21" t="n">
        <v>422.6806531</v>
      </c>
      <c r="F109" s="21" t="n">
        <v>0</v>
      </c>
    </row>
    <row r="110">
      <c r="A110" s="48" t="n">
        <v>46275</v>
      </c>
      <c r="B110" s="49" t="inlineStr">
        <is>
          <t>FIJO</t>
        </is>
      </c>
      <c r="C110" s="49" t="inlineStr">
        <is>
          <t>Bing</t>
        </is>
      </c>
      <c r="D110" s="19" t="n">
        <v>266636.7804</v>
      </c>
      <c r="E110" s="21" t="n">
        <v>33.32959754</v>
      </c>
      <c r="F110" s="21" t="n">
        <v>3.332959754</v>
      </c>
    </row>
    <row r="111">
      <c r="A111" s="48" t="n">
        <v>46275</v>
      </c>
      <c r="B111" s="49" t="inlineStr">
        <is>
          <t>FIJO</t>
        </is>
      </c>
      <c r="C111" s="49" t="inlineStr">
        <is>
          <t>Meta</t>
        </is>
      </c>
      <c r="D111" s="19" t="n">
        <v>659735.5765</v>
      </c>
      <c r="E111" s="21" t="n">
        <v>69.44585016000001</v>
      </c>
      <c r="F111" s="21" t="n">
        <v>7.330395295</v>
      </c>
    </row>
    <row r="112">
      <c r="A112" s="48" t="n">
        <v>46275</v>
      </c>
      <c r="B112" s="49" t="inlineStr">
        <is>
          <t>FIJO</t>
        </is>
      </c>
      <c r="C112" s="49" t="inlineStr">
        <is>
          <t>Pmax</t>
        </is>
      </c>
      <c r="D112" s="19" t="n">
        <v>1523638.745</v>
      </c>
      <c r="E112" s="21" t="n">
        <v>101.5759163</v>
      </c>
      <c r="F112" s="21" t="n">
        <v>15.23638745</v>
      </c>
    </row>
    <row r="113">
      <c r="A113" s="48" t="n">
        <v>46275</v>
      </c>
      <c r="B113" s="49" t="inlineStr">
        <is>
          <t>FIJO</t>
        </is>
      </c>
      <c r="C113" s="49" t="inlineStr">
        <is>
          <t>Search</t>
        </is>
      </c>
      <c r="D113" s="19" t="n">
        <v>9141832.469000001</v>
      </c>
      <c r="E113" s="21" t="n">
        <v>481.1490773</v>
      </c>
      <c r="F113" s="21" t="n">
        <v>140.6435765</v>
      </c>
    </row>
    <row r="114">
      <c r="A114" s="48" t="n">
        <v>46275</v>
      </c>
      <c r="B114" s="49" t="inlineStr">
        <is>
          <t>MIXTO</t>
        </is>
      </c>
      <c r="C114" s="49" t="inlineStr">
        <is>
          <t>Bing Mixto</t>
        </is>
      </c>
      <c r="D114" s="19" t="n">
        <v>74217.47661</v>
      </c>
      <c r="E114" s="21" t="n">
        <v>6.184789718</v>
      </c>
      <c r="F114" s="21" t="n">
        <v>0</v>
      </c>
    </row>
    <row r="115">
      <c r="A115" s="48" t="n">
        <v>46275</v>
      </c>
      <c r="B115" s="49" t="inlineStr">
        <is>
          <t>MIXTO</t>
        </is>
      </c>
      <c r="C115" s="49" t="inlineStr">
        <is>
          <t>Pmax Mixto</t>
        </is>
      </c>
      <c r="D115" s="19" t="n">
        <v>667957.2895</v>
      </c>
      <c r="E115" s="21" t="n">
        <v>83.49466119</v>
      </c>
      <c r="F115" s="21" t="n">
        <v>0</v>
      </c>
    </row>
    <row r="116">
      <c r="A116" s="48" t="n">
        <v>46275</v>
      </c>
      <c r="B116" s="49" t="inlineStr">
        <is>
          <t>MIXTO</t>
        </is>
      </c>
      <c r="C116" s="49" t="inlineStr">
        <is>
          <t>Search Mixto</t>
        </is>
      </c>
      <c r="D116" s="19" t="n">
        <v>3710873.831</v>
      </c>
      <c r="E116" s="21" t="n">
        <v>713.6295828</v>
      </c>
      <c r="F116" s="21" t="n">
        <v>0</v>
      </c>
    </row>
    <row r="117">
      <c r="A117" s="48" t="n">
        <v>46275</v>
      </c>
      <c r="B117" s="49" t="inlineStr">
        <is>
          <t>MOVIL</t>
        </is>
      </c>
      <c r="C117" s="49" t="inlineStr">
        <is>
          <t>Bing</t>
        </is>
      </c>
      <c r="D117" s="19" t="n">
        <v>180632.5399</v>
      </c>
      <c r="E117" s="21" t="n">
        <v>25.80464856</v>
      </c>
      <c r="F117" s="21" t="n">
        <v>0</v>
      </c>
    </row>
    <row r="118">
      <c r="A118" s="48" t="n">
        <v>46275</v>
      </c>
      <c r="B118" s="49" t="inlineStr">
        <is>
          <t>MOVIL</t>
        </is>
      </c>
      <c r="C118" s="49" t="inlineStr">
        <is>
          <t>Display</t>
        </is>
      </c>
      <c r="D118" s="19" t="n">
        <v>180632.5399</v>
      </c>
      <c r="E118" s="21" t="n">
        <v>24.73401889</v>
      </c>
      <c r="F118" s="21" t="n">
        <v>0</v>
      </c>
    </row>
    <row r="119">
      <c r="A119" s="48" t="n">
        <v>46275</v>
      </c>
      <c r="B119" s="49" t="inlineStr">
        <is>
          <t>MOVIL</t>
        </is>
      </c>
      <c r="C119" s="49" t="inlineStr">
        <is>
          <t>Meta</t>
        </is>
      </c>
      <c r="D119" s="19" t="n">
        <v>722530.1598</v>
      </c>
      <c r="E119" s="21" t="n">
        <v>100.3514111</v>
      </c>
      <c r="F119" s="21" t="n">
        <v>0</v>
      </c>
    </row>
    <row r="120">
      <c r="A120" s="48" t="n">
        <v>46275</v>
      </c>
      <c r="B120" s="49" t="inlineStr">
        <is>
          <t>MOVIL</t>
        </is>
      </c>
      <c r="C120" s="49" t="inlineStr">
        <is>
          <t>Pmax</t>
        </is>
      </c>
      <c r="D120" s="19" t="n">
        <v>903162.6997</v>
      </c>
      <c r="E120" s="21" t="n">
        <v>64.51162141</v>
      </c>
      <c r="F120" s="21" t="n">
        <v>0</v>
      </c>
    </row>
    <row r="121">
      <c r="A121" s="48" t="n">
        <v>46275</v>
      </c>
      <c r="B121" s="49" t="inlineStr">
        <is>
          <t>MOVIL</t>
        </is>
      </c>
      <c r="C121" s="49" t="inlineStr">
        <is>
          <t>Search</t>
        </is>
      </c>
      <c r="D121" s="19" t="n">
        <v>5950096.341</v>
      </c>
      <c r="E121" s="21" t="n">
        <v>383.8771833</v>
      </c>
      <c r="F121" s="21" t="n">
        <v>0</v>
      </c>
    </row>
    <row r="122">
      <c r="A122" s="48" t="n">
        <v>46276</v>
      </c>
      <c r="B122" s="49" t="inlineStr">
        <is>
          <t>FIJO</t>
        </is>
      </c>
      <c r="C122" s="49" t="inlineStr">
        <is>
          <t>Bing</t>
        </is>
      </c>
      <c r="D122" s="19" t="n">
        <v>243852.5751</v>
      </c>
      <c r="E122" s="21" t="n">
        <v>30.48157189</v>
      </c>
      <c r="F122" s="21" t="n">
        <v>3.048157189</v>
      </c>
    </row>
    <row r="123">
      <c r="A123" s="48" t="n">
        <v>46276</v>
      </c>
      <c r="B123" s="49" t="inlineStr">
        <is>
          <t>FIJO</t>
        </is>
      </c>
      <c r="C123" s="49" t="inlineStr">
        <is>
          <t>Meta</t>
        </is>
      </c>
      <c r="D123" s="19" t="n">
        <v>603360.943</v>
      </c>
      <c r="E123" s="21" t="n">
        <v>63.51167821</v>
      </c>
      <c r="F123" s="21" t="n">
        <v>6.704010478</v>
      </c>
    </row>
    <row r="124">
      <c r="A124" s="48" t="n">
        <v>46276</v>
      </c>
      <c r="B124" s="49" t="inlineStr">
        <is>
          <t>FIJO</t>
        </is>
      </c>
      <c r="C124" s="49" t="inlineStr">
        <is>
          <t>Pmax</t>
        </is>
      </c>
      <c r="D124" s="19" t="n">
        <v>1393443.286</v>
      </c>
      <c r="E124" s="21" t="n">
        <v>92.89621909</v>
      </c>
      <c r="F124" s="21" t="n">
        <v>13.93443286</v>
      </c>
    </row>
    <row r="125">
      <c r="A125" s="48" t="n">
        <v>46276</v>
      </c>
      <c r="B125" s="49" t="inlineStr">
        <is>
          <t>FIJO</t>
        </is>
      </c>
      <c r="C125" s="49" t="inlineStr">
        <is>
          <t>Search</t>
        </is>
      </c>
      <c r="D125" s="19" t="n">
        <v>8360659.718</v>
      </c>
      <c r="E125" s="21" t="n">
        <v>440.034722</v>
      </c>
      <c r="F125" s="21" t="n">
        <v>128.6255341</v>
      </c>
    </row>
    <row r="126">
      <c r="A126" s="48" t="n">
        <v>46276</v>
      </c>
      <c r="B126" s="49" t="inlineStr">
        <is>
          <t>MIXTO</t>
        </is>
      </c>
      <c r="C126" s="49" t="inlineStr">
        <is>
          <t>Bing Mixto</t>
        </is>
      </c>
      <c r="D126" s="19" t="n">
        <v>68517.20378</v>
      </c>
      <c r="E126" s="21" t="n">
        <v>5.709766981</v>
      </c>
      <c r="F126" s="21" t="n">
        <v>0</v>
      </c>
    </row>
    <row r="127">
      <c r="A127" s="48" t="n">
        <v>46276</v>
      </c>
      <c r="B127" s="49" t="inlineStr">
        <is>
          <t>MIXTO</t>
        </is>
      </c>
      <c r="C127" s="49" t="inlineStr">
        <is>
          <t>Pmax Mixto</t>
        </is>
      </c>
      <c r="D127" s="19" t="n">
        <v>616654.834</v>
      </c>
      <c r="E127" s="21" t="n">
        <v>77.08185425000001</v>
      </c>
      <c r="F127" s="21" t="n">
        <v>0</v>
      </c>
    </row>
    <row r="128">
      <c r="A128" s="48" t="n">
        <v>46276</v>
      </c>
      <c r="B128" s="49" t="inlineStr">
        <is>
          <t>MIXTO</t>
        </is>
      </c>
      <c r="C128" s="49" t="inlineStr">
        <is>
          <t>Search Mixto</t>
        </is>
      </c>
      <c r="D128" s="19" t="n">
        <v>3425860.189</v>
      </c>
      <c r="E128" s="21" t="n">
        <v>658.8192671</v>
      </c>
      <c r="F128" s="21" t="n">
        <v>0</v>
      </c>
    </row>
    <row r="129">
      <c r="A129" s="48" t="n">
        <v>46276</v>
      </c>
      <c r="B129" s="49" t="inlineStr">
        <is>
          <t>MOVIL</t>
        </is>
      </c>
      <c r="C129" s="49" t="inlineStr">
        <is>
          <t>Bing</t>
        </is>
      </c>
      <c r="D129" s="19" t="n">
        <v>168405.6081</v>
      </c>
      <c r="E129" s="21" t="n">
        <v>24.05794401</v>
      </c>
      <c r="F129" s="21" t="n">
        <v>0</v>
      </c>
    </row>
    <row r="130">
      <c r="A130" s="48" t="n">
        <v>46276</v>
      </c>
      <c r="B130" s="49" t="inlineStr">
        <is>
          <t>MOVIL</t>
        </is>
      </c>
      <c r="C130" s="49" t="inlineStr">
        <is>
          <t>Display</t>
        </is>
      </c>
      <c r="D130" s="19" t="n">
        <v>168405.6081</v>
      </c>
      <c r="E130" s="21" t="n">
        <v>23.05978476</v>
      </c>
      <c r="F130" s="21" t="n">
        <v>0</v>
      </c>
    </row>
    <row r="131">
      <c r="A131" s="48" t="n">
        <v>46276</v>
      </c>
      <c r="B131" s="49" t="inlineStr">
        <is>
          <t>MOVIL</t>
        </is>
      </c>
      <c r="C131" s="49" t="inlineStr">
        <is>
          <t>Meta</t>
        </is>
      </c>
      <c r="D131" s="19" t="n">
        <v>673622.4323</v>
      </c>
      <c r="E131" s="21" t="n">
        <v>93.55867116</v>
      </c>
      <c r="F131" s="21" t="n">
        <v>0</v>
      </c>
    </row>
    <row r="132">
      <c r="A132" s="48" t="n">
        <v>46276</v>
      </c>
      <c r="B132" s="49" t="inlineStr">
        <is>
          <t>MOVIL</t>
        </is>
      </c>
      <c r="C132" s="49" t="inlineStr">
        <is>
          <t>Pmax</t>
        </is>
      </c>
      <c r="D132" s="19" t="n">
        <v>842028.0404000001</v>
      </c>
      <c r="E132" s="21" t="n">
        <v>60.14486003</v>
      </c>
      <c r="F132" s="21" t="n">
        <v>0</v>
      </c>
    </row>
    <row r="133">
      <c r="A133" s="48" t="n">
        <v>46276</v>
      </c>
      <c r="B133" s="49" t="inlineStr">
        <is>
          <t>MOVIL</t>
        </is>
      </c>
      <c r="C133" s="49" t="inlineStr">
        <is>
          <t>Search</t>
        </is>
      </c>
      <c r="D133" s="19" t="n">
        <v>5547337.113</v>
      </c>
      <c r="E133" s="21" t="n">
        <v>357.8927169</v>
      </c>
      <c r="F133" s="21" t="n">
        <v>0</v>
      </c>
    </row>
    <row r="134">
      <c r="A134" s="48" t="n">
        <v>46277</v>
      </c>
      <c r="B134" s="49" t="inlineStr">
        <is>
          <t>FIJO</t>
        </is>
      </c>
      <c r="C134" s="49" t="inlineStr">
        <is>
          <t>Bing</t>
        </is>
      </c>
      <c r="D134" s="19" t="n">
        <v>171189.434</v>
      </c>
      <c r="E134" s="21" t="n">
        <v>21.39867926</v>
      </c>
      <c r="F134" s="21" t="n">
        <v>2.139867926</v>
      </c>
    </row>
    <row r="135">
      <c r="A135" s="48" t="n">
        <v>46277</v>
      </c>
      <c r="B135" s="49" t="inlineStr">
        <is>
          <t>FIJO</t>
        </is>
      </c>
      <c r="C135" s="49" t="inlineStr">
        <is>
          <t>Meta</t>
        </is>
      </c>
      <c r="D135" s="19" t="n">
        <v>423571.5711</v>
      </c>
      <c r="E135" s="21" t="n">
        <v>44.58648117</v>
      </c>
      <c r="F135" s="21" t="n">
        <v>4.70635079</v>
      </c>
    </row>
    <row r="136">
      <c r="A136" s="48" t="n">
        <v>46277</v>
      </c>
      <c r="B136" s="49" t="inlineStr">
        <is>
          <t>FIJO</t>
        </is>
      </c>
      <c r="C136" s="49" t="inlineStr">
        <is>
          <t>Pmax</t>
        </is>
      </c>
      <c r="D136" s="19" t="n">
        <v>978225.3374</v>
      </c>
      <c r="E136" s="21" t="n">
        <v>65.21502249</v>
      </c>
      <c r="F136" s="21" t="n">
        <v>9.782253374</v>
      </c>
    </row>
    <row r="137">
      <c r="A137" s="48" t="n">
        <v>46277</v>
      </c>
      <c r="B137" s="49" t="inlineStr">
        <is>
          <t>FIJO</t>
        </is>
      </c>
      <c r="C137" s="49" t="inlineStr">
        <is>
          <t>Search</t>
        </is>
      </c>
      <c r="D137" s="19" t="n">
        <v>5869352.024</v>
      </c>
      <c r="E137" s="21" t="n">
        <v>308.9132644</v>
      </c>
      <c r="F137" s="21" t="n">
        <v>90.29772345000001</v>
      </c>
    </row>
    <row r="138">
      <c r="A138" s="48" t="n">
        <v>46277</v>
      </c>
      <c r="B138" s="49" t="inlineStr">
        <is>
          <t>MIXTO</t>
        </is>
      </c>
      <c r="C138" s="49" t="inlineStr">
        <is>
          <t>Bing Mixto</t>
        </is>
      </c>
      <c r="D138" s="19" t="n">
        <v>46953.18805</v>
      </c>
      <c r="E138" s="21" t="n">
        <v>3.912765671</v>
      </c>
      <c r="F138" s="21" t="n">
        <v>0</v>
      </c>
    </row>
    <row r="139">
      <c r="A139" s="48" t="n">
        <v>46277</v>
      </c>
      <c r="B139" s="49" t="inlineStr">
        <is>
          <t>MIXTO</t>
        </is>
      </c>
      <c r="C139" s="49" t="inlineStr">
        <is>
          <t>Pmax Mixto</t>
        </is>
      </c>
      <c r="D139" s="19" t="n">
        <v>422578.6924</v>
      </c>
      <c r="E139" s="21" t="n">
        <v>52.82233655</v>
      </c>
      <c r="F139" s="21" t="n">
        <v>0</v>
      </c>
    </row>
    <row r="140">
      <c r="A140" s="48" t="n">
        <v>46277</v>
      </c>
      <c r="B140" s="49" t="inlineStr">
        <is>
          <t>MIXTO</t>
        </is>
      </c>
      <c r="C140" s="49" t="inlineStr">
        <is>
          <t>Search Mixto</t>
        </is>
      </c>
      <c r="D140" s="19" t="n">
        <v>2347659.402</v>
      </c>
      <c r="E140" s="21" t="n">
        <v>451.472962</v>
      </c>
      <c r="F140" s="21" t="n">
        <v>0</v>
      </c>
    </row>
    <row r="141">
      <c r="A141" s="48" t="n">
        <v>46277</v>
      </c>
      <c r="B141" s="49" t="inlineStr">
        <is>
          <t>MOVIL</t>
        </is>
      </c>
      <c r="C141" s="49" t="inlineStr">
        <is>
          <t>Bing</t>
        </is>
      </c>
      <c r="D141" s="19" t="n">
        <v>112487.7731</v>
      </c>
      <c r="E141" s="21" t="n">
        <v>16.06968187</v>
      </c>
      <c r="F141" s="21" t="n">
        <v>0</v>
      </c>
    </row>
    <row r="142">
      <c r="A142" s="48" t="n">
        <v>46277</v>
      </c>
      <c r="B142" s="49" t="inlineStr">
        <is>
          <t>MOVIL</t>
        </is>
      </c>
      <c r="C142" s="49" t="inlineStr">
        <is>
          <t>Display</t>
        </is>
      </c>
      <c r="D142" s="19" t="n">
        <v>112487.7731</v>
      </c>
      <c r="E142" s="21" t="n">
        <v>15.402954</v>
      </c>
      <c r="F142" s="21" t="n">
        <v>0</v>
      </c>
    </row>
    <row r="143">
      <c r="A143" s="48" t="n">
        <v>46277</v>
      </c>
      <c r="B143" s="49" t="inlineStr">
        <is>
          <t>MOVIL</t>
        </is>
      </c>
      <c r="C143" s="49" t="inlineStr">
        <is>
          <t>Meta</t>
        </is>
      </c>
      <c r="D143" s="19" t="n">
        <v>449951.0923</v>
      </c>
      <c r="E143" s="21" t="n">
        <v>62.49320726</v>
      </c>
      <c r="F143" s="21" t="n">
        <v>0</v>
      </c>
    </row>
    <row r="144">
      <c r="A144" s="48" t="n">
        <v>46277</v>
      </c>
      <c r="B144" s="49" t="inlineStr">
        <is>
          <t>MOVIL</t>
        </is>
      </c>
      <c r="C144" s="49" t="inlineStr">
        <is>
          <t>Pmax</t>
        </is>
      </c>
      <c r="D144" s="19" t="n">
        <v>562438.8652999999</v>
      </c>
      <c r="E144" s="21" t="n">
        <v>40.17420467</v>
      </c>
      <c r="F144" s="21" t="n">
        <v>0</v>
      </c>
    </row>
    <row r="145">
      <c r="A145" s="48" t="n">
        <v>46277</v>
      </c>
      <c r="B145" s="49" t="inlineStr">
        <is>
          <t>MOVIL</t>
        </is>
      </c>
      <c r="C145" s="49" t="inlineStr">
        <is>
          <t>Search</t>
        </is>
      </c>
      <c r="D145" s="19" t="n">
        <v>3705384.906</v>
      </c>
      <c r="E145" s="21" t="n">
        <v>239.0570907</v>
      </c>
      <c r="F145" s="21" t="n">
        <v>0</v>
      </c>
    </row>
    <row r="146">
      <c r="A146" s="48" t="n">
        <v>46278</v>
      </c>
      <c r="B146" s="49" t="inlineStr">
        <is>
          <t>FIJO</t>
        </is>
      </c>
      <c r="C146" s="49" t="inlineStr">
        <is>
          <t>Bing</t>
        </is>
      </c>
      <c r="D146" s="19" t="n">
        <v>154255.2274</v>
      </c>
      <c r="E146" s="21" t="n">
        <v>19.28190343</v>
      </c>
      <c r="F146" s="21" t="n">
        <v>1.928190343</v>
      </c>
    </row>
    <row r="147">
      <c r="A147" s="48" t="n">
        <v>46278</v>
      </c>
      <c r="B147" s="49" t="inlineStr">
        <is>
          <t>FIJO</t>
        </is>
      </c>
      <c r="C147" s="49" t="inlineStr">
        <is>
          <t>Meta</t>
        </is>
      </c>
      <c r="D147" s="19" t="n">
        <v>381671.5056</v>
      </c>
      <c r="E147" s="21" t="n">
        <v>40.17594796</v>
      </c>
      <c r="F147" s="21" t="n">
        <v>4.240794507</v>
      </c>
    </row>
    <row r="148">
      <c r="A148" s="48" t="n">
        <v>46278</v>
      </c>
      <c r="B148" s="49" t="inlineStr">
        <is>
          <t>FIJO</t>
        </is>
      </c>
      <c r="C148" s="49" t="inlineStr">
        <is>
          <t>Pmax</t>
        </is>
      </c>
      <c r="D148" s="19" t="n">
        <v>881458.4425</v>
      </c>
      <c r="E148" s="21" t="n">
        <v>58.76389617</v>
      </c>
      <c r="F148" s="21" t="n">
        <v>8.814584425</v>
      </c>
    </row>
    <row r="149">
      <c r="A149" s="48" t="n">
        <v>46278</v>
      </c>
      <c r="B149" s="49" t="inlineStr">
        <is>
          <t>FIJO</t>
        </is>
      </c>
      <c r="C149" s="49" t="inlineStr">
        <is>
          <t>Search</t>
        </is>
      </c>
      <c r="D149" s="19" t="n">
        <v>5288750.655</v>
      </c>
      <c r="E149" s="21" t="n">
        <v>278.3552976</v>
      </c>
      <c r="F149" s="21" t="n">
        <v>81.36539469</v>
      </c>
    </row>
    <row r="150">
      <c r="A150" s="48" t="n">
        <v>46278</v>
      </c>
      <c r="B150" s="49" t="inlineStr">
        <is>
          <t>MIXTO</t>
        </is>
      </c>
      <c r="C150" s="49" t="inlineStr">
        <is>
          <t>Bing Mixto</t>
        </is>
      </c>
      <c r="D150" s="19" t="n">
        <v>44534.01568</v>
      </c>
      <c r="E150" s="21" t="n">
        <v>3.711167973</v>
      </c>
      <c r="F150" s="21" t="n">
        <v>0</v>
      </c>
    </row>
    <row r="151">
      <c r="A151" s="48" t="n">
        <v>46278</v>
      </c>
      <c r="B151" s="49" t="inlineStr">
        <is>
          <t>MIXTO</t>
        </is>
      </c>
      <c r="C151" s="49" t="inlineStr">
        <is>
          <t>Pmax Mixto</t>
        </is>
      </c>
      <c r="D151" s="19" t="n">
        <v>400806.1411</v>
      </c>
      <c r="E151" s="21" t="n">
        <v>50.10076764</v>
      </c>
      <c r="F151" s="21" t="n">
        <v>0</v>
      </c>
    </row>
    <row r="152">
      <c r="A152" s="48" t="n">
        <v>46278</v>
      </c>
      <c r="B152" s="49" t="inlineStr">
        <is>
          <t>MIXTO</t>
        </is>
      </c>
      <c r="C152" s="49" t="inlineStr">
        <is>
          <t>Search Mixto</t>
        </is>
      </c>
      <c r="D152" s="19" t="n">
        <v>2226700.784</v>
      </c>
      <c r="E152" s="21" t="n">
        <v>428.2116892</v>
      </c>
      <c r="F152" s="21" t="n">
        <v>0</v>
      </c>
    </row>
    <row r="153">
      <c r="A153" s="48" t="n">
        <v>46278</v>
      </c>
      <c r="B153" s="49" t="inlineStr">
        <is>
          <t>MOVIL</t>
        </is>
      </c>
      <c r="C153" s="49" t="inlineStr">
        <is>
          <t>Bing</t>
        </is>
      </c>
      <c r="D153" s="19" t="n">
        <v>112487.7731</v>
      </c>
      <c r="E153" s="21" t="n">
        <v>16.06968187</v>
      </c>
      <c r="F153" s="21" t="n">
        <v>0</v>
      </c>
    </row>
    <row r="154">
      <c r="A154" s="48" t="n">
        <v>46278</v>
      </c>
      <c r="B154" s="49" t="inlineStr">
        <is>
          <t>MOVIL</t>
        </is>
      </c>
      <c r="C154" s="49" t="inlineStr">
        <is>
          <t>Display</t>
        </is>
      </c>
      <c r="D154" s="19" t="n">
        <v>112487.7731</v>
      </c>
      <c r="E154" s="21" t="n">
        <v>15.402954</v>
      </c>
      <c r="F154" s="21" t="n">
        <v>0</v>
      </c>
    </row>
    <row r="155">
      <c r="A155" s="48" t="n">
        <v>46278</v>
      </c>
      <c r="B155" s="49" t="inlineStr">
        <is>
          <t>MOVIL</t>
        </is>
      </c>
      <c r="C155" s="49" t="inlineStr">
        <is>
          <t>Meta</t>
        </is>
      </c>
      <c r="D155" s="19" t="n">
        <v>449951.0923</v>
      </c>
      <c r="E155" s="21" t="n">
        <v>62.49320726</v>
      </c>
      <c r="F155" s="21" t="n">
        <v>0</v>
      </c>
    </row>
    <row r="156">
      <c r="A156" s="48" t="n">
        <v>46278</v>
      </c>
      <c r="B156" s="49" t="inlineStr">
        <is>
          <t>MOVIL</t>
        </is>
      </c>
      <c r="C156" s="49" t="inlineStr">
        <is>
          <t>Pmax</t>
        </is>
      </c>
      <c r="D156" s="19" t="n">
        <v>562438.8652999999</v>
      </c>
      <c r="E156" s="21" t="n">
        <v>40.17420467</v>
      </c>
      <c r="F156" s="21" t="n">
        <v>0</v>
      </c>
    </row>
    <row r="157">
      <c r="A157" s="48" t="n">
        <v>46278</v>
      </c>
      <c r="B157" s="49" t="inlineStr">
        <is>
          <t>MOVIL</t>
        </is>
      </c>
      <c r="C157" s="49" t="inlineStr">
        <is>
          <t>Search</t>
        </is>
      </c>
      <c r="D157" s="19" t="n">
        <v>3705384.906</v>
      </c>
      <c r="E157" s="21" t="n">
        <v>239.0570907</v>
      </c>
      <c r="F157" s="21" t="n">
        <v>0</v>
      </c>
    </row>
    <row r="158">
      <c r="A158" s="48" t="n">
        <v>46279</v>
      </c>
      <c r="B158" s="49" t="inlineStr">
        <is>
          <t>FIJO</t>
        </is>
      </c>
      <c r="C158" s="49" t="inlineStr">
        <is>
          <t>Bing</t>
        </is>
      </c>
      <c r="D158" s="19" t="n">
        <v>333142.0281</v>
      </c>
      <c r="E158" s="21" t="n">
        <v>41.64275351</v>
      </c>
      <c r="F158" s="21" t="n">
        <v>4.164275351</v>
      </c>
    </row>
    <row r="159">
      <c r="A159" s="48" t="n">
        <v>46279</v>
      </c>
      <c r="B159" s="49" t="inlineStr">
        <is>
          <t>FIJO</t>
        </is>
      </c>
      <c r="C159" s="49" t="inlineStr">
        <is>
          <t>Meta</t>
        </is>
      </c>
      <c r="D159" s="19" t="n">
        <v>824288.561</v>
      </c>
      <c r="E159" s="21" t="n">
        <v>86.76721695000001</v>
      </c>
      <c r="F159" s="21" t="n">
        <v>9.158761789</v>
      </c>
    </row>
    <row r="160">
      <c r="A160" s="48" t="n">
        <v>46279</v>
      </c>
      <c r="B160" s="49" t="inlineStr">
        <is>
          <t>FIJO</t>
        </is>
      </c>
      <c r="C160" s="49" t="inlineStr">
        <is>
          <t>Pmax</t>
        </is>
      </c>
      <c r="D160" s="19" t="n">
        <v>1903668.732</v>
      </c>
      <c r="E160" s="21" t="n">
        <v>126.9112488</v>
      </c>
      <c r="F160" s="21" t="n">
        <v>19.03668732</v>
      </c>
    </row>
    <row r="161">
      <c r="A161" s="48" t="n">
        <v>46279</v>
      </c>
      <c r="B161" s="49" t="inlineStr">
        <is>
          <t>FIJO</t>
        </is>
      </c>
      <c r="C161" s="49" t="inlineStr">
        <is>
          <t>Search</t>
        </is>
      </c>
      <c r="D161" s="19" t="n">
        <v>11422012.39</v>
      </c>
      <c r="E161" s="21" t="n">
        <v>601.158547</v>
      </c>
      <c r="F161" s="21" t="n">
        <v>175.7232676</v>
      </c>
    </row>
    <row r="162">
      <c r="A162" s="48" t="n">
        <v>46279</v>
      </c>
      <c r="B162" s="49" t="inlineStr">
        <is>
          <t>MIXTO</t>
        </is>
      </c>
      <c r="C162" s="49" t="inlineStr">
        <is>
          <t>Bing Mixto</t>
        </is>
      </c>
      <c r="D162" s="19" t="n">
        <v>95423.47572</v>
      </c>
      <c r="E162" s="21" t="n">
        <v>7.95195631</v>
      </c>
      <c r="F162" s="21" t="n">
        <v>0</v>
      </c>
    </row>
    <row r="163">
      <c r="A163" s="48" t="n">
        <v>46279</v>
      </c>
      <c r="B163" s="49" t="inlineStr">
        <is>
          <t>MIXTO</t>
        </is>
      </c>
      <c r="C163" s="49" t="inlineStr">
        <is>
          <t>Pmax Mixto</t>
        </is>
      </c>
      <c r="D163" s="19" t="n">
        <v>858811.2815</v>
      </c>
      <c r="E163" s="21" t="n">
        <v>107.3514102</v>
      </c>
      <c r="F163" s="21" t="n">
        <v>0</v>
      </c>
    </row>
    <row r="164">
      <c r="A164" s="48" t="n">
        <v>46279</v>
      </c>
      <c r="B164" s="49" t="inlineStr">
        <is>
          <t>MIXTO</t>
        </is>
      </c>
      <c r="C164" s="49" t="inlineStr">
        <is>
          <t>Search Mixto</t>
        </is>
      </c>
      <c r="D164" s="19" t="n">
        <v>4771173.786</v>
      </c>
      <c r="E164" s="21" t="n">
        <v>917.5334204</v>
      </c>
      <c r="F164" s="21" t="n">
        <v>0</v>
      </c>
    </row>
    <row r="165">
      <c r="A165" s="48" t="n">
        <v>46279</v>
      </c>
      <c r="B165" s="49" t="inlineStr">
        <is>
          <t>MOVIL</t>
        </is>
      </c>
      <c r="C165" s="49" t="inlineStr">
        <is>
          <t>Bing</t>
        </is>
      </c>
      <c r="D165" s="19" t="n">
        <v>239158.7871</v>
      </c>
      <c r="E165" s="21" t="n">
        <v>34.16554101</v>
      </c>
      <c r="F165" s="21" t="n">
        <v>0</v>
      </c>
    </row>
    <row r="166">
      <c r="A166" s="48" t="n">
        <v>46279</v>
      </c>
      <c r="B166" s="49" t="inlineStr">
        <is>
          <t>MOVIL</t>
        </is>
      </c>
      <c r="C166" s="49" t="inlineStr">
        <is>
          <t>Display</t>
        </is>
      </c>
      <c r="D166" s="19" t="n">
        <v>239158.7871</v>
      </c>
      <c r="E166" s="21" t="n">
        <v>32.74801959</v>
      </c>
      <c r="F166" s="21" t="n">
        <v>0</v>
      </c>
    </row>
    <row r="167">
      <c r="A167" s="48" t="n">
        <v>46279</v>
      </c>
      <c r="B167" s="49" t="inlineStr">
        <is>
          <t>MOVIL</t>
        </is>
      </c>
      <c r="C167" s="49" t="inlineStr">
        <is>
          <t>Meta</t>
        </is>
      </c>
      <c r="D167" s="19" t="n">
        <v>956635.1483999999</v>
      </c>
      <c r="E167" s="21" t="n">
        <v>132.8659928</v>
      </c>
      <c r="F167" s="21" t="n">
        <v>0</v>
      </c>
    </row>
    <row r="168">
      <c r="A168" s="48" t="n">
        <v>46279</v>
      </c>
      <c r="B168" s="49" t="inlineStr">
        <is>
          <t>MOVIL</t>
        </is>
      </c>
      <c r="C168" s="49" t="inlineStr">
        <is>
          <t>Pmax</t>
        </is>
      </c>
      <c r="D168" s="19" t="n">
        <v>1195793.935</v>
      </c>
      <c r="E168" s="21" t="n">
        <v>85.41385253</v>
      </c>
      <c r="F168" s="21" t="n">
        <v>0</v>
      </c>
    </row>
    <row r="169">
      <c r="A169" s="48" t="n">
        <v>46279</v>
      </c>
      <c r="B169" s="49" t="inlineStr">
        <is>
          <t>MOVIL</t>
        </is>
      </c>
      <c r="C169" s="49" t="inlineStr">
        <is>
          <t>Search</t>
        </is>
      </c>
      <c r="D169" s="19" t="n">
        <v>7877970.517</v>
      </c>
      <c r="E169" s="21" t="n">
        <v>508.2561624</v>
      </c>
      <c r="F169" s="21" t="n">
        <v>0</v>
      </c>
    </row>
    <row r="170">
      <c r="A170" s="48" t="n">
        <v>46280</v>
      </c>
      <c r="B170" s="49" t="inlineStr">
        <is>
          <t>FIJO</t>
        </is>
      </c>
      <c r="C170" s="49" t="inlineStr">
        <is>
          <t>Bing</t>
        </is>
      </c>
      <c r="D170" s="19" t="n">
        <v>275873.6203</v>
      </c>
      <c r="E170" s="21" t="n">
        <v>34.48420254</v>
      </c>
      <c r="F170" s="21" t="n">
        <v>3.448420254</v>
      </c>
    </row>
    <row r="171">
      <c r="A171" s="48" t="n">
        <v>46280</v>
      </c>
      <c r="B171" s="49" t="inlineStr">
        <is>
          <t>FIJO</t>
        </is>
      </c>
      <c r="C171" s="49" t="inlineStr">
        <is>
          <t>Meta</t>
        </is>
      </c>
      <c r="D171" s="19" t="n">
        <v>682590.1577</v>
      </c>
      <c r="E171" s="21" t="n">
        <v>71.85159555</v>
      </c>
      <c r="F171" s="21" t="n">
        <v>7.584335086</v>
      </c>
    </row>
    <row r="172">
      <c r="A172" s="48" t="n">
        <v>46280</v>
      </c>
      <c r="B172" s="49" t="inlineStr">
        <is>
          <t>FIJO</t>
        </is>
      </c>
      <c r="C172" s="49" t="inlineStr">
        <is>
          <t>Pmax</t>
        </is>
      </c>
      <c r="D172" s="19" t="n">
        <v>1576420.688</v>
      </c>
      <c r="E172" s="21" t="n">
        <v>105.0947125</v>
      </c>
      <c r="F172" s="21" t="n">
        <v>15.76420688</v>
      </c>
    </row>
    <row r="173">
      <c r="A173" s="48" t="n">
        <v>46280</v>
      </c>
      <c r="B173" s="49" t="inlineStr">
        <is>
          <t>FIJO</t>
        </is>
      </c>
      <c r="C173" s="49" t="inlineStr">
        <is>
          <t>Search</t>
        </is>
      </c>
      <c r="D173" s="19" t="n">
        <v>9458524.125</v>
      </c>
      <c r="E173" s="21" t="n">
        <v>497.8170592</v>
      </c>
      <c r="F173" s="21" t="n">
        <v>145.5157558</v>
      </c>
    </row>
    <row r="174">
      <c r="A174" s="48" t="n">
        <v>46280</v>
      </c>
      <c r="B174" s="49" t="inlineStr">
        <is>
          <t>MIXTO</t>
        </is>
      </c>
      <c r="C174" s="49" t="inlineStr">
        <is>
          <t>Bing Mixto</t>
        </is>
      </c>
      <c r="D174" s="19" t="n">
        <v>80329.98246</v>
      </c>
      <c r="E174" s="21" t="n">
        <v>6.694165205</v>
      </c>
      <c r="F174" s="21" t="n">
        <v>0</v>
      </c>
    </row>
    <row r="175">
      <c r="A175" s="48" t="n">
        <v>46280</v>
      </c>
      <c r="B175" s="49" t="inlineStr">
        <is>
          <t>MIXTO</t>
        </is>
      </c>
      <c r="C175" s="49" t="inlineStr">
        <is>
          <t>Pmax Mixto</t>
        </is>
      </c>
      <c r="D175" s="19" t="n">
        <v>722969.8422</v>
      </c>
      <c r="E175" s="21" t="n">
        <v>90.37123027</v>
      </c>
      <c r="F175" s="21" t="n">
        <v>0</v>
      </c>
    </row>
    <row r="176">
      <c r="A176" s="48" t="n">
        <v>46280</v>
      </c>
      <c r="B176" s="49" t="inlineStr">
        <is>
          <t>MIXTO</t>
        </is>
      </c>
      <c r="C176" s="49" t="inlineStr">
        <is>
          <t>Search Mixto</t>
        </is>
      </c>
      <c r="D176" s="19" t="n">
        <v>4016499.123</v>
      </c>
      <c r="E176" s="21" t="n">
        <v>772.4036775</v>
      </c>
      <c r="F176" s="21" t="n">
        <v>0</v>
      </c>
    </row>
    <row r="177">
      <c r="A177" s="48" t="n">
        <v>46280</v>
      </c>
      <c r="B177" s="49" t="inlineStr">
        <is>
          <t>MOVIL</t>
        </is>
      </c>
      <c r="C177" s="49" t="inlineStr">
        <is>
          <t>Bing</t>
        </is>
      </c>
      <c r="D177" s="19" t="n">
        <v>204597.3264</v>
      </c>
      <c r="E177" s="21" t="n">
        <v>29.22818948</v>
      </c>
      <c r="F177" s="21" t="n">
        <v>0</v>
      </c>
    </row>
    <row r="178">
      <c r="A178" s="48" t="n">
        <v>46280</v>
      </c>
      <c r="B178" s="49" t="inlineStr">
        <is>
          <t>MOVIL</t>
        </is>
      </c>
      <c r="C178" s="49" t="inlineStr">
        <is>
          <t>Display</t>
        </is>
      </c>
      <c r="D178" s="19" t="n">
        <v>204597.3264</v>
      </c>
      <c r="E178" s="21" t="n">
        <v>28.01551778</v>
      </c>
      <c r="F178" s="21" t="n">
        <v>0</v>
      </c>
    </row>
    <row r="179">
      <c r="A179" s="48" t="n">
        <v>46280</v>
      </c>
      <c r="B179" s="49" t="inlineStr">
        <is>
          <t>MOVIL</t>
        </is>
      </c>
      <c r="C179" s="49" t="inlineStr">
        <is>
          <t>Meta</t>
        </is>
      </c>
      <c r="D179" s="19" t="n">
        <v>818389.3055</v>
      </c>
      <c r="E179" s="21" t="n">
        <v>113.6651813</v>
      </c>
      <c r="F179" s="21" t="n">
        <v>0</v>
      </c>
    </row>
    <row r="180">
      <c r="A180" s="48" t="n">
        <v>46280</v>
      </c>
      <c r="B180" s="49" t="inlineStr">
        <is>
          <t>MOVIL</t>
        </is>
      </c>
      <c r="C180" s="49" t="inlineStr">
        <is>
          <t>Pmax</t>
        </is>
      </c>
      <c r="D180" s="19" t="n">
        <v>1022986.632</v>
      </c>
      <c r="E180" s="21" t="n">
        <v>73.07047371</v>
      </c>
      <c r="F180" s="21" t="n">
        <v>0</v>
      </c>
    </row>
    <row r="181">
      <c r="A181" s="48" t="n">
        <v>46280</v>
      </c>
      <c r="B181" s="49" t="inlineStr">
        <is>
          <t>MOVIL</t>
        </is>
      </c>
      <c r="C181" s="49" t="inlineStr">
        <is>
          <t>Search</t>
        </is>
      </c>
      <c r="D181" s="19" t="n">
        <v>6739504.43</v>
      </c>
      <c r="E181" s="21" t="n">
        <v>434.8067374</v>
      </c>
      <c r="F181" s="21" t="n">
        <v>0</v>
      </c>
    </row>
    <row r="182">
      <c r="A182" s="48" t="n">
        <v>46281</v>
      </c>
      <c r="B182" s="49" t="inlineStr">
        <is>
          <t>FIJO</t>
        </is>
      </c>
      <c r="C182" s="49" t="inlineStr">
        <is>
          <t>Bing</t>
        </is>
      </c>
      <c r="D182" s="19" t="n">
        <v>224147.3165</v>
      </c>
      <c r="E182" s="21" t="n">
        <v>28.01841456</v>
      </c>
      <c r="F182" s="21" t="n">
        <v>2.801841456</v>
      </c>
    </row>
    <row r="183">
      <c r="A183" s="48" t="n">
        <v>46281</v>
      </c>
      <c r="B183" s="49" t="inlineStr">
        <is>
          <t>FIJO</t>
        </is>
      </c>
      <c r="C183" s="49" t="inlineStr">
        <is>
          <t>Meta</t>
        </is>
      </c>
      <c r="D183" s="19" t="n">
        <v>554604.5031</v>
      </c>
      <c r="E183" s="21" t="n">
        <v>58.37942138</v>
      </c>
      <c r="F183" s="21" t="n">
        <v>6.162272257</v>
      </c>
    </row>
    <row r="184">
      <c r="A184" s="48" t="n">
        <v>46281</v>
      </c>
      <c r="B184" s="49" t="inlineStr">
        <is>
          <t>FIJO</t>
        </is>
      </c>
      <c r="C184" s="49" t="inlineStr">
        <is>
          <t>Pmax</t>
        </is>
      </c>
      <c r="D184" s="19" t="n">
        <v>1280841.809</v>
      </c>
      <c r="E184" s="21" t="n">
        <v>85.38945391</v>
      </c>
      <c r="F184" s="21" t="n">
        <v>12.80841809</v>
      </c>
    </row>
    <row r="185">
      <c r="A185" s="48" t="n">
        <v>46281</v>
      </c>
      <c r="B185" s="49" t="inlineStr">
        <is>
          <t>FIJO</t>
        </is>
      </c>
      <c r="C185" s="49" t="inlineStr">
        <is>
          <t>Search</t>
        </is>
      </c>
      <c r="D185" s="19" t="n">
        <v>7685050.852</v>
      </c>
      <c r="E185" s="21" t="n">
        <v>404.4763606</v>
      </c>
      <c r="F185" s="21" t="n">
        <v>118.2315516</v>
      </c>
    </row>
    <row r="186">
      <c r="A186" s="48" t="n">
        <v>46281</v>
      </c>
      <c r="B186" s="49" t="inlineStr">
        <is>
          <t>MIXTO</t>
        </is>
      </c>
      <c r="C186" s="49" t="inlineStr">
        <is>
          <t>Bing Mixto</t>
        </is>
      </c>
      <c r="D186" s="19" t="n">
        <v>70658.14988</v>
      </c>
      <c r="E186" s="21" t="n">
        <v>5.888179157</v>
      </c>
      <c r="F186" s="21" t="n">
        <v>0</v>
      </c>
    </row>
    <row r="187">
      <c r="A187" s="48" t="n">
        <v>46281</v>
      </c>
      <c r="B187" s="49" t="inlineStr">
        <is>
          <t>MIXTO</t>
        </is>
      </c>
      <c r="C187" s="49" t="inlineStr">
        <is>
          <t>Pmax Mixto</t>
        </is>
      </c>
      <c r="D187" s="19" t="n">
        <v>635923.3489</v>
      </c>
      <c r="E187" s="21" t="n">
        <v>79.49041861000001</v>
      </c>
      <c r="F187" s="21" t="n">
        <v>0</v>
      </c>
    </row>
    <row r="188">
      <c r="A188" s="48" t="n">
        <v>46281</v>
      </c>
      <c r="B188" s="49" t="inlineStr">
        <is>
          <t>MIXTO</t>
        </is>
      </c>
      <c r="C188" s="49" t="inlineStr">
        <is>
          <t>Search Mixto</t>
        </is>
      </c>
      <c r="D188" s="19" t="n">
        <v>3532907.494</v>
      </c>
      <c r="E188" s="21" t="n">
        <v>679.4052873000001</v>
      </c>
      <c r="F188" s="21" t="n">
        <v>0</v>
      </c>
    </row>
    <row r="189">
      <c r="A189" s="48" t="n">
        <v>46281</v>
      </c>
      <c r="B189" s="49" t="inlineStr">
        <is>
          <t>MOVIL</t>
        </is>
      </c>
      <c r="C189" s="49" t="inlineStr">
        <is>
          <t>Bing</t>
        </is>
      </c>
      <c r="D189" s="19" t="n">
        <v>193185.5233</v>
      </c>
      <c r="E189" s="21" t="n">
        <v>27.5979319</v>
      </c>
      <c r="F189" s="21" t="n">
        <v>0</v>
      </c>
    </row>
    <row r="190">
      <c r="A190" s="48" t="n">
        <v>46281</v>
      </c>
      <c r="B190" s="49" t="inlineStr">
        <is>
          <t>MOVIL</t>
        </is>
      </c>
      <c r="C190" s="49" t="inlineStr">
        <is>
          <t>Display</t>
        </is>
      </c>
      <c r="D190" s="19" t="n">
        <v>193185.5233</v>
      </c>
      <c r="E190" s="21" t="n">
        <v>26.45289926</v>
      </c>
      <c r="F190" s="21" t="n">
        <v>0</v>
      </c>
    </row>
    <row r="191">
      <c r="A191" s="48" t="n">
        <v>46281</v>
      </c>
      <c r="B191" s="49" t="inlineStr">
        <is>
          <t>MOVIL</t>
        </is>
      </c>
      <c r="C191" s="49" t="inlineStr">
        <is>
          <t>Meta</t>
        </is>
      </c>
      <c r="D191" s="19" t="n">
        <v>772742.0932999999</v>
      </c>
      <c r="E191" s="21" t="n">
        <v>107.3252907</v>
      </c>
      <c r="F191" s="21" t="n">
        <v>0</v>
      </c>
    </row>
    <row r="192">
      <c r="A192" s="48" t="n">
        <v>46281</v>
      </c>
      <c r="B192" s="49" t="inlineStr">
        <is>
          <t>MOVIL</t>
        </is>
      </c>
      <c r="C192" s="49" t="inlineStr">
        <is>
          <t>Pmax</t>
        </is>
      </c>
      <c r="D192" s="19" t="n">
        <v>965927.6166</v>
      </c>
      <c r="E192" s="21" t="n">
        <v>68.99482974999999</v>
      </c>
      <c r="F192" s="21" t="n">
        <v>0</v>
      </c>
    </row>
    <row r="193">
      <c r="A193" s="48" t="n">
        <v>46281</v>
      </c>
      <c r="B193" s="49" t="inlineStr">
        <is>
          <t>MOVIL</t>
        </is>
      </c>
      <c r="C193" s="49" t="inlineStr">
        <is>
          <t>Search</t>
        </is>
      </c>
      <c r="D193" s="19" t="n">
        <v>6363595.816</v>
      </c>
      <c r="E193" s="21" t="n">
        <v>410.5545688</v>
      </c>
      <c r="F193" s="21" t="n">
        <v>0</v>
      </c>
    </row>
    <row r="194">
      <c r="A194" s="48" t="n">
        <v>46282</v>
      </c>
      <c r="B194" s="49" t="inlineStr">
        <is>
          <t>FIJO</t>
        </is>
      </c>
      <c r="C194" s="49" t="inlineStr">
        <is>
          <t>Bing</t>
        </is>
      </c>
      <c r="D194" s="19" t="n">
        <v>163492.0674</v>
      </c>
      <c r="E194" s="21" t="n">
        <v>20.43650843</v>
      </c>
      <c r="F194" s="21" t="n">
        <v>2.043650843</v>
      </c>
    </row>
    <row r="195">
      <c r="A195" s="48" t="n">
        <v>46282</v>
      </c>
      <c r="B195" s="49" t="inlineStr">
        <is>
          <t>FIJO</t>
        </is>
      </c>
      <c r="C195" s="49" t="inlineStr">
        <is>
          <t>Meta</t>
        </is>
      </c>
      <c r="D195" s="19" t="n">
        <v>404526.0868</v>
      </c>
      <c r="E195" s="21" t="n">
        <v>42.58169334</v>
      </c>
      <c r="F195" s="21" t="n">
        <v>4.494734297</v>
      </c>
    </row>
    <row r="196">
      <c r="A196" s="48" t="n">
        <v>46282</v>
      </c>
      <c r="B196" s="49" t="inlineStr">
        <is>
          <t>FIJO</t>
        </is>
      </c>
      <c r="C196" s="49" t="inlineStr">
        <is>
          <t>Pmax</t>
        </is>
      </c>
      <c r="D196" s="19" t="n">
        <v>934240.3852</v>
      </c>
      <c r="E196" s="21" t="n">
        <v>62.28269234</v>
      </c>
      <c r="F196" s="21" t="n">
        <v>9.342403852</v>
      </c>
    </row>
    <row r="197">
      <c r="A197" s="48" t="n">
        <v>46282</v>
      </c>
      <c r="B197" s="49" t="inlineStr">
        <is>
          <t>FIJO</t>
        </is>
      </c>
      <c r="C197" s="49" t="inlineStr">
        <is>
          <t>Search</t>
        </is>
      </c>
      <c r="D197" s="19" t="n">
        <v>5605442.311</v>
      </c>
      <c r="E197" s="21" t="n">
        <v>295.0232795</v>
      </c>
      <c r="F197" s="21" t="n">
        <v>86.23757401</v>
      </c>
    </row>
    <row r="198">
      <c r="A198" s="48" t="n">
        <v>46282</v>
      </c>
      <c r="B198" s="49" t="inlineStr">
        <is>
          <t>MIXTO</t>
        </is>
      </c>
      <c r="C198" s="49" t="inlineStr">
        <is>
          <t>Bing Mixto</t>
        </is>
      </c>
      <c r="D198" s="19" t="n">
        <v>47646.84758</v>
      </c>
      <c r="E198" s="21" t="n">
        <v>3.970570632</v>
      </c>
      <c r="F198" s="21" t="n">
        <v>0</v>
      </c>
    </row>
    <row r="199">
      <c r="A199" s="48" t="n">
        <v>46282</v>
      </c>
      <c r="B199" s="49" t="inlineStr">
        <is>
          <t>MIXTO</t>
        </is>
      </c>
      <c r="C199" s="49" t="inlineStr">
        <is>
          <t>Pmax Mixto</t>
        </is>
      </c>
      <c r="D199" s="19" t="n">
        <v>428821.6282</v>
      </c>
      <c r="E199" s="21" t="n">
        <v>53.60270353</v>
      </c>
      <c r="F199" s="21" t="n">
        <v>0</v>
      </c>
    </row>
    <row r="200">
      <c r="A200" s="48" t="n">
        <v>46282</v>
      </c>
      <c r="B200" s="49" t="inlineStr">
        <is>
          <t>MIXTO</t>
        </is>
      </c>
      <c r="C200" s="49" t="inlineStr">
        <is>
          <t>Search Mixto</t>
        </is>
      </c>
      <c r="D200" s="19" t="n">
        <v>2382342.379</v>
      </c>
      <c r="E200" s="21" t="n">
        <v>458.1427652</v>
      </c>
      <c r="F200" s="21" t="n">
        <v>0</v>
      </c>
    </row>
    <row r="201">
      <c r="A201" s="48" t="n">
        <v>46282</v>
      </c>
      <c r="B201" s="49" t="inlineStr">
        <is>
          <t>MOVIL</t>
        </is>
      </c>
      <c r="C201" s="49" t="inlineStr">
        <is>
          <t>Bing</t>
        </is>
      </c>
      <c r="D201" s="19" t="n">
        <v>121454.1898</v>
      </c>
      <c r="E201" s="21" t="n">
        <v>17.35059854</v>
      </c>
      <c r="F201" s="21" t="n">
        <v>0</v>
      </c>
    </row>
    <row r="202">
      <c r="A202" s="48" t="n">
        <v>46282</v>
      </c>
      <c r="B202" s="49" t="inlineStr">
        <is>
          <t>MOVIL</t>
        </is>
      </c>
      <c r="C202" s="49" t="inlineStr">
        <is>
          <t>Display</t>
        </is>
      </c>
      <c r="D202" s="19" t="n">
        <v>121454.1898</v>
      </c>
      <c r="E202" s="21" t="n">
        <v>16.6307257</v>
      </c>
      <c r="F202" s="21" t="n">
        <v>0</v>
      </c>
    </row>
    <row r="203">
      <c r="A203" s="48" t="n">
        <v>46282</v>
      </c>
      <c r="B203" s="49" t="inlineStr">
        <is>
          <t>MOVIL</t>
        </is>
      </c>
      <c r="C203" s="49" t="inlineStr">
        <is>
          <t>Meta</t>
        </is>
      </c>
      <c r="D203" s="19" t="n">
        <v>485816.759</v>
      </c>
      <c r="E203" s="21" t="n">
        <v>67.47454987</v>
      </c>
      <c r="F203" s="21" t="n">
        <v>0</v>
      </c>
    </row>
    <row r="204">
      <c r="A204" s="48" t="n">
        <v>46282</v>
      </c>
      <c r="B204" s="49" t="inlineStr">
        <is>
          <t>MOVIL</t>
        </is>
      </c>
      <c r="C204" s="49" t="inlineStr">
        <is>
          <t>Pmax</t>
        </is>
      </c>
      <c r="D204" s="19" t="n">
        <v>607270.9488</v>
      </c>
      <c r="E204" s="21" t="n">
        <v>43.37649634</v>
      </c>
      <c r="F204" s="21" t="n">
        <v>0</v>
      </c>
    </row>
    <row r="205">
      <c r="A205" s="48" t="n">
        <v>46282</v>
      </c>
      <c r="B205" s="49" t="inlineStr">
        <is>
          <t>MOVIL</t>
        </is>
      </c>
      <c r="C205" s="49" t="inlineStr">
        <is>
          <t>Search</t>
        </is>
      </c>
      <c r="D205" s="19" t="n">
        <v>4000741.674</v>
      </c>
      <c r="E205" s="21" t="n">
        <v>258.112366</v>
      </c>
      <c r="F205" s="21" t="n">
        <v>0</v>
      </c>
    </row>
    <row r="206">
      <c r="A206" s="48" t="n">
        <v>46283</v>
      </c>
      <c r="B206" s="49" t="inlineStr">
        <is>
          <t>FIJO</t>
        </is>
      </c>
      <c r="C206" s="49" t="inlineStr">
        <is>
          <t>Bing</t>
        </is>
      </c>
      <c r="D206" s="19" t="n">
        <v>132086.8115</v>
      </c>
      <c r="E206" s="21" t="n">
        <v>16.51085144</v>
      </c>
      <c r="F206" s="21" t="n">
        <v>1.651085144</v>
      </c>
    </row>
    <row r="207">
      <c r="A207" s="48" t="n">
        <v>46283</v>
      </c>
      <c r="B207" s="49" t="inlineStr">
        <is>
          <t>FIJO</t>
        </is>
      </c>
      <c r="C207" s="49" t="inlineStr">
        <is>
          <t>Meta</t>
        </is>
      </c>
      <c r="D207" s="19" t="n">
        <v>326820.5108</v>
      </c>
      <c r="E207" s="21" t="n">
        <v>34.40215903</v>
      </c>
      <c r="F207" s="21" t="n">
        <v>3.631339009</v>
      </c>
    </row>
    <row r="208">
      <c r="A208" s="48" t="n">
        <v>46283</v>
      </c>
      <c r="B208" s="49" t="inlineStr">
        <is>
          <t>FIJO</t>
        </is>
      </c>
      <c r="C208" s="49" t="inlineStr">
        <is>
          <t>Pmax</t>
        </is>
      </c>
      <c r="D208" s="19" t="n">
        <v>754781.7801</v>
      </c>
      <c r="E208" s="21" t="n">
        <v>50.31878534</v>
      </c>
      <c r="F208" s="21" t="n">
        <v>7.547817801</v>
      </c>
    </row>
    <row r="209">
      <c r="A209" s="48" t="n">
        <v>46283</v>
      </c>
      <c r="B209" s="49" t="inlineStr">
        <is>
          <t>FIJO</t>
        </is>
      </c>
      <c r="C209" s="49" t="inlineStr">
        <is>
          <t>Search</t>
        </is>
      </c>
      <c r="D209" s="19" t="n">
        <v>4528690.681</v>
      </c>
      <c r="E209" s="21" t="n">
        <v>238.3521411</v>
      </c>
      <c r="F209" s="21" t="n">
        <v>69.67216431999999</v>
      </c>
    </row>
    <row r="210">
      <c r="A210" s="48" t="n">
        <v>46283</v>
      </c>
      <c r="B210" s="49" t="inlineStr">
        <is>
          <t>MIXTO</t>
        </is>
      </c>
      <c r="C210" s="49" t="inlineStr">
        <is>
          <t>Bing Mixto</t>
        </is>
      </c>
      <c r="D210" s="19" t="n">
        <v>32857.15454</v>
      </c>
      <c r="E210" s="21" t="n">
        <v>2.738096212</v>
      </c>
      <c r="F210" s="21" t="n">
        <v>0</v>
      </c>
    </row>
    <row r="211">
      <c r="A211" s="48" t="n">
        <v>46283</v>
      </c>
      <c r="B211" s="49" t="inlineStr">
        <is>
          <t>MIXTO</t>
        </is>
      </c>
      <c r="C211" s="49" t="inlineStr">
        <is>
          <t>Pmax Mixto</t>
        </is>
      </c>
      <c r="D211" s="19" t="n">
        <v>295714.3909</v>
      </c>
      <c r="E211" s="21" t="n">
        <v>36.96429886</v>
      </c>
      <c r="F211" s="21" t="n">
        <v>0</v>
      </c>
    </row>
    <row r="212">
      <c r="A212" s="48" t="n">
        <v>46283</v>
      </c>
      <c r="B212" s="49" t="inlineStr">
        <is>
          <t>MIXTO</t>
        </is>
      </c>
      <c r="C212" s="49" t="inlineStr">
        <is>
          <t>Search Mixto</t>
        </is>
      </c>
      <c r="D212" s="19" t="n">
        <v>1642857.727</v>
      </c>
      <c r="E212" s="21" t="n">
        <v>315.9341783</v>
      </c>
      <c r="F212" s="21" t="n">
        <v>0</v>
      </c>
    </row>
    <row r="213">
      <c r="A213" s="48" t="n">
        <v>46283</v>
      </c>
      <c r="B213" s="49" t="inlineStr">
        <is>
          <t>MOVIL</t>
        </is>
      </c>
      <c r="C213" s="49" t="inlineStr">
        <is>
          <t>Bing</t>
        </is>
      </c>
      <c r="D213" s="19" t="n">
        <v>69938.05021</v>
      </c>
      <c r="E213" s="21" t="n">
        <v>9.99115003</v>
      </c>
      <c r="F213" s="21" t="n">
        <v>0</v>
      </c>
    </row>
    <row r="214">
      <c r="A214" s="48" t="n">
        <v>46283</v>
      </c>
      <c r="B214" s="49" t="inlineStr">
        <is>
          <t>MOVIL</t>
        </is>
      </c>
      <c r="C214" s="49" t="inlineStr">
        <is>
          <t>Display</t>
        </is>
      </c>
      <c r="D214" s="19" t="n">
        <v>69938.05021</v>
      </c>
      <c r="E214" s="21" t="n">
        <v>9.576619227</v>
      </c>
      <c r="F214" s="21" t="n">
        <v>0</v>
      </c>
    </row>
    <row r="215">
      <c r="A215" s="48" t="n">
        <v>46283</v>
      </c>
      <c r="B215" s="49" t="inlineStr">
        <is>
          <t>MOVIL</t>
        </is>
      </c>
      <c r="C215" s="49" t="inlineStr">
        <is>
          <t>Meta</t>
        </is>
      </c>
      <c r="D215" s="19" t="n">
        <v>279752.2008</v>
      </c>
      <c r="E215" s="21" t="n">
        <v>38.85447234</v>
      </c>
      <c r="F215" s="21" t="n">
        <v>0</v>
      </c>
    </row>
    <row r="216">
      <c r="A216" s="48" t="n">
        <v>46283</v>
      </c>
      <c r="B216" s="49" t="inlineStr">
        <is>
          <t>MOVIL</t>
        </is>
      </c>
      <c r="C216" s="49" t="inlineStr">
        <is>
          <t>Pmax</t>
        </is>
      </c>
      <c r="D216" s="19" t="n">
        <v>349690.2511</v>
      </c>
      <c r="E216" s="21" t="n">
        <v>24.97787508</v>
      </c>
      <c r="F216" s="21" t="n">
        <v>0</v>
      </c>
    </row>
    <row r="217">
      <c r="A217" s="48" t="n">
        <v>46283</v>
      </c>
      <c r="B217" s="49" t="inlineStr">
        <is>
          <t>MOVIL</t>
        </is>
      </c>
      <c r="C217" s="49" t="inlineStr">
        <is>
          <t>Search</t>
        </is>
      </c>
      <c r="D217" s="19" t="n">
        <v>2303782.789</v>
      </c>
      <c r="E217" s="21" t="n">
        <v>148.6311477</v>
      </c>
      <c r="F217" s="21" t="n">
        <v>0</v>
      </c>
    </row>
    <row r="218">
      <c r="A218" s="48" t="n">
        <v>46284</v>
      </c>
      <c r="B218" s="49" t="inlineStr">
        <is>
          <t>FIJO</t>
        </is>
      </c>
      <c r="C218" s="49" t="inlineStr">
        <is>
          <t>Bing</t>
        </is>
      </c>
      <c r="D218" s="19" t="n">
        <v>132086.8115</v>
      </c>
      <c r="E218" s="21" t="n">
        <v>16.51085144</v>
      </c>
      <c r="F218" s="21" t="n">
        <v>1.651085144</v>
      </c>
    </row>
    <row r="219">
      <c r="A219" s="48" t="n">
        <v>46284</v>
      </c>
      <c r="B219" s="49" t="inlineStr">
        <is>
          <t>FIJO</t>
        </is>
      </c>
      <c r="C219" s="49" t="inlineStr">
        <is>
          <t>Meta</t>
        </is>
      </c>
      <c r="D219" s="19" t="n">
        <v>326820.5108</v>
      </c>
      <c r="E219" s="21" t="n">
        <v>34.40215903</v>
      </c>
      <c r="F219" s="21" t="n">
        <v>3.631339009</v>
      </c>
    </row>
    <row r="220">
      <c r="A220" s="48" t="n">
        <v>46284</v>
      </c>
      <c r="B220" s="49" t="inlineStr">
        <is>
          <t>FIJO</t>
        </is>
      </c>
      <c r="C220" s="49" t="inlineStr">
        <is>
          <t>Pmax</t>
        </is>
      </c>
      <c r="D220" s="19" t="n">
        <v>754781.7801</v>
      </c>
      <c r="E220" s="21" t="n">
        <v>50.31878534</v>
      </c>
      <c r="F220" s="21" t="n">
        <v>7.547817801</v>
      </c>
    </row>
    <row r="221">
      <c r="A221" s="48" t="n">
        <v>46284</v>
      </c>
      <c r="B221" s="49" t="inlineStr">
        <is>
          <t>FIJO</t>
        </is>
      </c>
      <c r="C221" s="49" t="inlineStr">
        <is>
          <t>Search</t>
        </is>
      </c>
      <c r="D221" s="19" t="n">
        <v>4528690.681</v>
      </c>
      <c r="E221" s="21" t="n">
        <v>238.3521411</v>
      </c>
      <c r="F221" s="21" t="n">
        <v>69.67216431999999</v>
      </c>
    </row>
    <row r="222">
      <c r="A222" s="48" t="n">
        <v>46284</v>
      </c>
      <c r="B222" s="49" t="inlineStr">
        <is>
          <t>MIXTO</t>
        </is>
      </c>
      <c r="C222" s="49" t="inlineStr">
        <is>
          <t>Bing Mixto</t>
        </is>
      </c>
      <c r="D222" s="19" t="n">
        <v>28683.69514</v>
      </c>
      <c r="E222" s="21" t="n">
        <v>2.390307928</v>
      </c>
      <c r="F222" s="21" t="n">
        <v>0</v>
      </c>
    </row>
    <row r="223">
      <c r="A223" s="48" t="n">
        <v>46284</v>
      </c>
      <c r="B223" s="49" t="inlineStr">
        <is>
          <t>MIXTO</t>
        </is>
      </c>
      <c r="C223" s="49" t="inlineStr">
        <is>
          <t>Pmax Mixto</t>
        </is>
      </c>
      <c r="D223" s="19" t="n">
        <v>258153.2562</v>
      </c>
      <c r="E223" s="21" t="n">
        <v>32.26915703</v>
      </c>
      <c r="F223" s="21" t="n">
        <v>0</v>
      </c>
    </row>
    <row r="224">
      <c r="A224" s="48" t="n">
        <v>46284</v>
      </c>
      <c r="B224" s="49" t="inlineStr">
        <is>
          <t>MIXTO</t>
        </is>
      </c>
      <c r="C224" s="49" t="inlineStr">
        <is>
          <t>Search Mixto</t>
        </is>
      </c>
      <c r="D224" s="19" t="n">
        <v>1434184.757</v>
      </c>
      <c r="E224" s="21" t="n">
        <v>275.8047609</v>
      </c>
      <c r="F224" s="21" t="n">
        <v>0</v>
      </c>
    </row>
    <row r="225">
      <c r="A225" s="48" t="n">
        <v>46284</v>
      </c>
      <c r="B225" s="49" t="inlineStr">
        <is>
          <t>MOVIL</t>
        </is>
      </c>
      <c r="C225" s="49" t="inlineStr">
        <is>
          <t>Bing</t>
        </is>
      </c>
      <c r="D225" s="19" t="n">
        <v>49070.75318</v>
      </c>
      <c r="E225" s="21" t="n">
        <v>7.010107597</v>
      </c>
      <c r="F225" s="21" t="n">
        <v>0</v>
      </c>
    </row>
    <row r="226">
      <c r="A226" s="48" t="n">
        <v>46284</v>
      </c>
      <c r="B226" s="49" t="inlineStr">
        <is>
          <t>MOVIL</t>
        </is>
      </c>
      <c r="C226" s="49" t="inlineStr">
        <is>
          <t>Display</t>
        </is>
      </c>
      <c r="D226" s="19" t="n">
        <v>49070.75318</v>
      </c>
      <c r="E226" s="21" t="n">
        <v>6.719259644</v>
      </c>
      <c r="F226" s="21" t="n">
        <v>0</v>
      </c>
    </row>
    <row r="227">
      <c r="A227" s="48" t="n">
        <v>46284</v>
      </c>
      <c r="B227" s="49" t="inlineStr">
        <is>
          <t>MOVIL</t>
        </is>
      </c>
      <c r="C227" s="49" t="inlineStr">
        <is>
          <t>Meta</t>
        </is>
      </c>
      <c r="D227" s="19" t="n">
        <v>196283.0127</v>
      </c>
      <c r="E227" s="21" t="n">
        <v>27.26152954</v>
      </c>
      <c r="F227" s="21" t="n">
        <v>0</v>
      </c>
    </row>
    <row r="228">
      <c r="A228" s="48" t="n">
        <v>46284</v>
      </c>
      <c r="B228" s="49" t="inlineStr">
        <is>
          <t>MOVIL</t>
        </is>
      </c>
      <c r="C228" s="49" t="inlineStr">
        <is>
          <t>Pmax</t>
        </is>
      </c>
      <c r="D228" s="19" t="n">
        <v>245353.7659</v>
      </c>
      <c r="E228" s="21" t="n">
        <v>17.52526899</v>
      </c>
      <c r="F228" s="21" t="n">
        <v>0</v>
      </c>
    </row>
    <row r="229">
      <c r="A229" s="48" t="n">
        <v>46284</v>
      </c>
      <c r="B229" s="49" t="inlineStr">
        <is>
          <t>MOVIL</t>
        </is>
      </c>
      <c r="C229" s="49" t="inlineStr">
        <is>
          <t>Search</t>
        </is>
      </c>
      <c r="D229" s="19" t="n">
        <v>1616407.039</v>
      </c>
      <c r="E229" s="21" t="n">
        <v>104.2843251</v>
      </c>
      <c r="F229" s="21" t="n">
        <v>0</v>
      </c>
    </row>
    <row r="230">
      <c r="A230" s="48" t="n">
        <v>46285</v>
      </c>
      <c r="B230" s="49" t="inlineStr">
        <is>
          <t>FIJO</t>
        </is>
      </c>
      <c r="C230" s="49" t="inlineStr">
        <is>
          <t>Bing</t>
        </is>
      </c>
      <c r="D230" s="19" t="n">
        <v>132086.8115</v>
      </c>
      <c r="E230" s="21" t="n">
        <v>16.51085144</v>
      </c>
      <c r="F230" s="21" t="n">
        <v>1.651085144</v>
      </c>
    </row>
    <row r="231">
      <c r="A231" s="48" t="n">
        <v>46285</v>
      </c>
      <c r="B231" s="49" t="inlineStr">
        <is>
          <t>FIJO</t>
        </is>
      </c>
      <c r="C231" s="49" t="inlineStr">
        <is>
          <t>Meta</t>
        </is>
      </c>
      <c r="D231" s="19" t="n">
        <v>326820.5108</v>
      </c>
      <c r="E231" s="21" t="n">
        <v>34.40215903</v>
      </c>
      <c r="F231" s="21" t="n">
        <v>3.631339009</v>
      </c>
    </row>
    <row r="232">
      <c r="A232" s="48" t="n">
        <v>46285</v>
      </c>
      <c r="B232" s="49" t="inlineStr">
        <is>
          <t>FIJO</t>
        </is>
      </c>
      <c r="C232" s="49" t="inlineStr">
        <is>
          <t>Pmax</t>
        </is>
      </c>
      <c r="D232" s="19" t="n">
        <v>754781.7801</v>
      </c>
      <c r="E232" s="21" t="n">
        <v>50.31878534</v>
      </c>
      <c r="F232" s="21" t="n">
        <v>7.547817801</v>
      </c>
    </row>
    <row r="233">
      <c r="A233" s="48" t="n">
        <v>46285</v>
      </c>
      <c r="B233" s="49" t="inlineStr">
        <is>
          <t>FIJO</t>
        </is>
      </c>
      <c r="C233" s="49" t="inlineStr">
        <is>
          <t>Search</t>
        </is>
      </c>
      <c r="D233" s="19" t="n">
        <v>4528690.681</v>
      </c>
      <c r="E233" s="21" t="n">
        <v>238.3521411</v>
      </c>
      <c r="F233" s="21" t="n">
        <v>69.67216431999999</v>
      </c>
    </row>
    <row r="234">
      <c r="A234" s="48" t="n">
        <v>46285</v>
      </c>
      <c r="B234" s="49" t="inlineStr">
        <is>
          <t>MIXTO</t>
        </is>
      </c>
      <c r="C234" s="49" t="inlineStr">
        <is>
          <t>Bing Mixto</t>
        </is>
      </c>
      <c r="D234" s="19" t="n">
        <v>28683.69514</v>
      </c>
      <c r="E234" s="21" t="n">
        <v>2.390307928</v>
      </c>
      <c r="F234" s="21" t="n">
        <v>0</v>
      </c>
    </row>
    <row r="235">
      <c r="A235" s="48" t="n">
        <v>46285</v>
      </c>
      <c r="B235" s="49" t="inlineStr">
        <is>
          <t>MIXTO</t>
        </is>
      </c>
      <c r="C235" s="49" t="inlineStr">
        <is>
          <t>Pmax Mixto</t>
        </is>
      </c>
      <c r="D235" s="19" t="n">
        <v>258153.2562</v>
      </c>
      <c r="E235" s="21" t="n">
        <v>32.26915703</v>
      </c>
      <c r="F235" s="21" t="n">
        <v>0</v>
      </c>
    </row>
    <row r="236">
      <c r="A236" s="48" t="n">
        <v>46285</v>
      </c>
      <c r="B236" s="49" t="inlineStr">
        <is>
          <t>MIXTO</t>
        </is>
      </c>
      <c r="C236" s="49" t="inlineStr">
        <is>
          <t>Search Mixto</t>
        </is>
      </c>
      <c r="D236" s="19" t="n">
        <v>1434184.757</v>
      </c>
      <c r="E236" s="21" t="n">
        <v>275.8047609</v>
      </c>
      <c r="F236" s="21" t="n">
        <v>0</v>
      </c>
    </row>
    <row r="237">
      <c r="A237" s="48" t="n">
        <v>46285</v>
      </c>
      <c r="B237" s="49" t="inlineStr">
        <is>
          <t>MOVIL</t>
        </is>
      </c>
      <c r="C237" s="49" t="inlineStr">
        <is>
          <t>Bing</t>
        </is>
      </c>
      <c r="D237" s="19" t="n">
        <v>49070.75318</v>
      </c>
      <c r="E237" s="21" t="n">
        <v>7.010107597</v>
      </c>
      <c r="F237" s="21" t="n">
        <v>0</v>
      </c>
    </row>
    <row r="238">
      <c r="A238" s="48" t="n">
        <v>46285</v>
      </c>
      <c r="B238" s="49" t="inlineStr">
        <is>
          <t>MOVIL</t>
        </is>
      </c>
      <c r="C238" s="49" t="inlineStr">
        <is>
          <t>Display</t>
        </is>
      </c>
      <c r="D238" s="19" t="n">
        <v>49070.75318</v>
      </c>
      <c r="E238" s="21" t="n">
        <v>6.719259644</v>
      </c>
      <c r="F238" s="21" t="n">
        <v>0</v>
      </c>
    </row>
    <row r="239">
      <c r="A239" s="48" t="n">
        <v>46285</v>
      </c>
      <c r="B239" s="49" t="inlineStr">
        <is>
          <t>MOVIL</t>
        </is>
      </c>
      <c r="C239" s="49" t="inlineStr">
        <is>
          <t>Meta</t>
        </is>
      </c>
      <c r="D239" s="19" t="n">
        <v>196283.0127</v>
      </c>
      <c r="E239" s="21" t="n">
        <v>27.26152954</v>
      </c>
      <c r="F239" s="21" t="n">
        <v>0</v>
      </c>
    </row>
    <row r="240">
      <c r="A240" s="48" t="n">
        <v>46285</v>
      </c>
      <c r="B240" s="49" t="inlineStr">
        <is>
          <t>MOVIL</t>
        </is>
      </c>
      <c r="C240" s="49" t="inlineStr">
        <is>
          <t>Pmax</t>
        </is>
      </c>
      <c r="D240" s="19" t="n">
        <v>245353.7659</v>
      </c>
      <c r="E240" s="21" t="n">
        <v>17.52526899</v>
      </c>
      <c r="F240" s="21" t="n">
        <v>0</v>
      </c>
    </row>
    <row r="241">
      <c r="A241" s="48" t="n">
        <v>46285</v>
      </c>
      <c r="B241" s="49" t="inlineStr">
        <is>
          <t>MOVIL</t>
        </is>
      </c>
      <c r="C241" s="49" t="inlineStr">
        <is>
          <t>Search</t>
        </is>
      </c>
      <c r="D241" s="19" t="n">
        <v>1616407.039</v>
      </c>
      <c r="E241" s="21" t="n">
        <v>104.2843251</v>
      </c>
      <c r="F241" s="21" t="n">
        <v>0</v>
      </c>
    </row>
    <row r="242">
      <c r="A242" s="48" t="n">
        <v>46286</v>
      </c>
      <c r="B242" s="49" t="inlineStr">
        <is>
          <t>FIJO</t>
        </is>
      </c>
      <c r="C242" s="49" t="inlineStr">
        <is>
          <t>Bing</t>
        </is>
      </c>
      <c r="D242" s="19" t="n">
        <v>301736.7722</v>
      </c>
      <c r="E242" s="21" t="n">
        <v>37.71709653</v>
      </c>
      <c r="F242" s="21" t="n">
        <v>3.771709653</v>
      </c>
    </row>
    <row r="243">
      <c r="A243" s="48" t="n">
        <v>46286</v>
      </c>
      <c r="B243" s="49" t="inlineStr">
        <is>
          <t>FIJO</t>
        </is>
      </c>
      <c r="C243" s="49" t="inlineStr">
        <is>
          <t>Meta</t>
        </is>
      </c>
      <c r="D243" s="19" t="n">
        <v>746582.985</v>
      </c>
      <c r="E243" s="21" t="n">
        <v>78.58768263</v>
      </c>
      <c r="F243" s="21" t="n">
        <v>8.2953665</v>
      </c>
    </row>
    <row r="244">
      <c r="A244" s="48" t="n">
        <v>46286</v>
      </c>
      <c r="B244" s="49" t="inlineStr">
        <is>
          <t>FIJO</t>
        </is>
      </c>
      <c r="C244" s="49" t="inlineStr">
        <is>
          <t>Pmax</t>
        </is>
      </c>
      <c r="D244" s="19" t="n">
        <v>1724210.127</v>
      </c>
      <c r="E244" s="21" t="n">
        <v>114.9473418</v>
      </c>
      <c r="F244" s="21" t="n">
        <v>17.24210127</v>
      </c>
    </row>
    <row r="245">
      <c r="A245" s="48" t="n">
        <v>46286</v>
      </c>
      <c r="B245" s="49" t="inlineStr">
        <is>
          <t>FIJO</t>
        </is>
      </c>
      <c r="C245" s="49" t="inlineStr">
        <is>
          <t>Search</t>
        </is>
      </c>
      <c r="D245" s="19" t="n">
        <v>10345260.76</v>
      </c>
      <c r="E245" s="21" t="n">
        <v>544.4874085</v>
      </c>
      <c r="F245" s="21" t="n">
        <v>159.1578579</v>
      </c>
    </row>
    <row r="246">
      <c r="A246" s="48" t="n">
        <v>46286</v>
      </c>
      <c r="B246" s="49" t="inlineStr">
        <is>
          <t>MIXTO</t>
        </is>
      </c>
      <c r="C246" s="49" t="inlineStr">
        <is>
          <t>Bing Mixto</t>
        </is>
      </c>
      <c r="D246" s="19" t="n">
        <v>95273.49576000001</v>
      </c>
      <c r="E246" s="21" t="n">
        <v>7.93945798</v>
      </c>
      <c r="F246" s="21" t="n">
        <v>0</v>
      </c>
    </row>
    <row r="247">
      <c r="A247" s="48" t="n">
        <v>46286</v>
      </c>
      <c r="B247" s="49" t="inlineStr">
        <is>
          <t>MIXTO</t>
        </is>
      </c>
      <c r="C247" s="49" t="inlineStr">
        <is>
          <t>Pmax Mixto</t>
        </is>
      </c>
      <c r="D247" s="19" t="n">
        <v>857461.4618</v>
      </c>
      <c r="E247" s="21" t="n">
        <v>107.1826827</v>
      </c>
      <c r="F247" s="21" t="n">
        <v>0</v>
      </c>
    </row>
    <row r="248">
      <c r="A248" s="48" t="n">
        <v>46286</v>
      </c>
      <c r="B248" s="49" t="inlineStr">
        <is>
          <t>MIXTO</t>
        </is>
      </c>
      <c r="C248" s="49" t="inlineStr">
        <is>
          <t>Search Mixto</t>
        </is>
      </c>
      <c r="D248" s="19" t="n">
        <v>4763674.788</v>
      </c>
      <c r="E248" s="21" t="n">
        <v>916.0913054</v>
      </c>
      <c r="F248" s="21" t="n">
        <v>0</v>
      </c>
    </row>
    <row r="249">
      <c r="A249" s="48" t="n">
        <v>46286</v>
      </c>
      <c r="B249" s="49" t="inlineStr">
        <is>
          <t>MOVIL</t>
        </is>
      </c>
      <c r="C249" s="49" t="inlineStr">
        <is>
          <t>Bing</t>
        </is>
      </c>
      <c r="D249" s="19" t="n">
        <v>260841.2129</v>
      </c>
      <c r="E249" s="21" t="n">
        <v>37.26303042</v>
      </c>
      <c r="F249" s="21" t="n">
        <v>0</v>
      </c>
    </row>
    <row r="250">
      <c r="A250" s="48" t="n">
        <v>46286</v>
      </c>
      <c r="B250" s="49" t="inlineStr">
        <is>
          <t>MOVIL</t>
        </is>
      </c>
      <c r="C250" s="49" t="inlineStr">
        <is>
          <t>Display</t>
        </is>
      </c>
      <c r="D250" s="19" t="n">
        <v>260841.2129</v>
      </c>
      <c r="E250" s="21" t="n">
        <v>35.71699478</v>
      </c>
      <c r="F250" s="21" t="n">
        <v>0</v>
      </c>
    </row>
    <row r="251">
      <c r="A251" s="48" t="n">
        <v>46286</v>
      </c>
      <c r="B251" s="49" t="inlineStr">
        <is>
          <t>MOVIL</t>
        </is>
      </c>
      <c r="C251" s="49" t="inlineStr">
        <is>
          <t>Meta</t>
        </is>
      </c>
      <c r="D251" s="19" t="n">
        <v>1043364.852</v>
      </c>
      <c r="E251" s="21" t="n">
        <v>144.911785</v>
      </c>
      <c r="F251" s="21" t="n">
        <v>0</v>
      </c>
    </row>
    <row r="252">
      <c r="A252" s="48" t="n">
        <v>46286</v>
      </c>
      <c r="B252" s="49" t="inlineStr">
        <is>
          <t>MOVIL</t>
        </is>
      </c>
      <c r="C252" s="49" t="inlineStr">
        <is>
          <t>Pmax</t>
        </is>
      </c>
      <c r="D252" s="19" t="n">
        <v>1304206.065</v>
      </c>
      <c r="E252" s="21" t="n">
        <v>93.15757604</v>
      </c>
      <c r="F252" s="21" t="n">
        <v>0</v>
      </c>
    </row>
    <row r="253">
      <c r="A253" s="48" t="n">
        <v>46286</v>
      </c>
      <c r="B253" s="49" t="inlineStr">
        <is>
          <t>MOVIL</t>
        </is>
      </c>
      <c r="C253" s="49" t="inlineStr">
        <is>
          <t>Search</t>
        </is>
      </c>
      <c r="D253" s="19" t="n">
        <v>8592196.882999999</v>
      </c>
      <c r="E253" s="21" t="n">
        <v>554.3352828</v>
      </c>
      <c r="F253" s="21" t="n">
        <v>0</v>
      </c>
    </row>
    <row r="254">
      <c r="A254" s="48" t="n">
        <v>46287</v>
      </c>
      <c r="B254" s="49" t="inlineStr">
        <is>
          <t>FIJO</t>
        </is>
      </c>
      <c r="C254" s="49" t="inlineStr">
        <is>
          <t>Bing</t>
        </is>
      </c>
      <c r="D254" s="19" t="n">
        <v>254320.9937</v>
      </c>
      <c r="E254" s="21" t="n">
        <v>31.79012422</v>
      </c>
      <c r="F254" s="21" t="n">
        <v>3.179012422</v>
      </c>
    </row>
    <row r="255">
      <c r="A255" s="48" t="n">
        <v>46287</v>
      </c>
      <c r="B255" s="49" t="inlineStr">
        <is>
          <t>FIJO</t>
        </is>
      </c>
      <c r="C255" s="49" t="inlineStr">
        <is>
          <t>Meta</t>
        </is>
      </c>
      <c r="D255" s="19" t="n">
        <v>629262.8016</v>
      </c>
      <c r="E255" s="21" t="n">
        <v>66.23818965</v>
      </c>
      <c r="F255" s="21" t="n">
        <v>6.991808907</v>
      </c>
    </row>
    <row r="256">
      <c r="A256" s="48" t="n">
        <v>46287</v>
      </c>
      <c r="B256" s="49" t="inlineStr">
        <is>
          <t>FIJO</t>
        </is>
      </c>
      <c r="C256" s="49" t="inlineStr">
        <is>
          <t>Pmax</t>
        </is>
      </c>
      <c r="D256" s="19" t="n">
        <v>1453262.821</v>
      </c>
      <c r="E256" s="21" t="n">
        <v>96.88418808999999</v>
      </c>
      <c r="F256" s="21" t="n">
        <v>14.53262821</v>
      </c>
    </row>
    <row r="257">
      <c r="A257" s="48" t="n">
        <v>46287</v>
      </c>
      <c r="B257" s="49" t="inlineStr">
        <is>
          <t>FIJO</t>
        </is>
      </c>
      <c r="C257" s="49" t="inlineStr">
        <is>
          <t>Search</t>
        </is>
      </c>
      <c r="D257" s="19" t="n">
        <v>8719576.927999999</v>
      </c>
      <c r="E257" s="21" t="n">
        <v>458.9251015</v>
      </c>
      <c r="F257" s="21" t="n">
        <v>134.1473374</v>
      </c>
    </row>
    <row r="258">
      <c r="A258" s="48" t="n">
        <v>46287</v>
      </c>
      <c r="B258" s="49" t="inlineStr">
        <is>
          <t>MIXTO</t>
        </is>
      </c>
      <c r="C258" s="49" t="inlineStr">
        <is>
          <t>Bing Mixto</t>
        </is>
      </c>
      <c r="D258" s="19" t="n">
        <v>76501.11732</v>
      </c>
      <c r="E258" s="21" t="n">
        <v>6.37509311</v>
      </c>
      <c r="F258" s="21" t="n">
        <v>0</v>
      </c>
    </row>
    <row r="259">
      <c r="A259" s="48" t="n">
        <v>46287</v>
      </c>
      <c r="B259" s="49" t="inlineStr">
        <is>
          <t>MIXTO</t>
        </is>
      </c>
      <c r="C259" s="49" t="inlineStr">
        <is>
          <t>Pmax Mixto</t>
        </is>
      </c>
      <c r="D259" s="19" t="n">
        <v>688510.0559</v>
      </c>
      <c r="E259" s="21" t="n">
        <v>86.06375699</v>
      </c>
      <c r="F259" s="21" t="n">
        <v>0</v>
      </c>
    </row>
    <row r="260">
      <c r="A260" s="48" t="n">
        <v>46287</v>
      </c>
      <c r="B260" s="49" t="inlineStr">
        <is>
          <t>MIXTO</t>
        </is>
      </c>
      <c r="C260" s="49" t="inlineStr">
        <is>
          <t>Search Mixto</t>
        </is>
      </c>
      <c r="D260" s="19" t="n">
        <v>3825055.866</v>
      </c>
      <c r="E260" s="21" t="n">
        <v>735.5876666</v>
      </c>
      <c r="F260" s="21" t="n">
        <v>0</v>
      </c>
    </row>
    <row r="261">
      <c r="A261" s="48" t="n">
        <v>46287</v>
      </c>
      <c r="B261" s="49" t="inlineStr">
        <is>
          <t>MOVIL</t>
        </is>
      </c>
      <c r="C261" s="49" t="inlineStr">
        <is>
          <t>Bing</t>
        </is>
      </c>
      <c r="D261" s="19" t="n">
        <v>200847.7339</v>
      </c>
      <c r="E261" s="21" t="n">
        <v>28.69253342</v>
      </c>
      <c r="F261" s="21" t="n">
        <v>0</v>
      </c>
    </row>
    <row r="262">
      <c r="A262" s="48" t="n">
        <v>46287</v>
      </c>
      <c r="B262" s="49" t="inlineStr">
        <is>
          <t>MOVIL</t>
        </is>
      </c>
      <c r="C262" s="49" t="inlineStr">
        <is>
          <t>Display</t>
        </is>
      </c>
      <c r="D262" s="19" t="n">
        <v>200847.7339</v>
      </c>
      <c r="E262" s="21" t="n">
        <v>27.50208598</v>
      </c>
      <c r="F262" s="21" t="n">
        <v>0</v>
      </c>
    </row>
    <row r="263">
      <c r="A263" s="48" t="n">
        <v>46287</v>
      </c>
      <c r="B263" s="49" t="inlineStr">
        <is>
          <t>MOVIL</t>
        </is>
      </c>
      <c r="C263" s="49" t="inlineStr">
        <is>
          <t>Meta</t>
        </is>
      </c>
      <c r="D263" s="19" t="n">
        <v>803390.9358</v>
      </c>
      <c r="E263" s="21" t="n">
        <v>111.5820744</v>
      </c>
      <c r="F263" s="21" t="n">
        <v>0</v>
      </c>
    </row>
    <row r="264">
      <c r="A264" s="48" t="n">
        <v>46287</v>
      </c>
      <c r="B264" s="49" t="inlineStr">
        <is>
          <t>MOVIL</t>
        </is>
      </c>
      <c r="C264" s="49" t="inlineStr">
        <is>
          <t>Pmax</t>
        </is>
      </c>
      <c r="D264" s="19" t="n">
        <v>1004238.67</v>
      </c>
      <c r="E264" s="21" t="n">
        <v>71.73133355</v>
      </c>
      <c r="F264" s="21" t="n">
        <v>0</v>
      </c>
    </row>
    <row r="265">
      <c r="A265" s="48" t="n">
        <v>46287</v>
      </c>
      <c r="B265" s="49" t="inlineStr">
        <is>
          <t>MOVIL</t>
        </is>
      </c>
      <c r="C265" s="49" t="inlineStr">
        <is>
          <t>Search</t>
        </is>
      </c>
      <c r="D265" s="19" t="n">
        <v>6615991.6</v>
      </c>
      <c r="E265" s="21" t="n">
        <v>426.8381677</v>
      </c>
      <c r="F265" s="21" t="n">
        <v>0</v>
      </c>
    </row>
    <row r="266">
      <c r="A266" s="48" t="n">
        <v>46288</v>
      </c>
      <c r="B266" s="49" t="inlineStr">
        <is>
          <t>FIJO</t>
        </is>
      </c>
      <c r="C266" s="49" t="inlineStr">
        <is>
          <t>Bing</t>
        </is>
      </c>
      <c r="D266" s="19" t="n">
        <v>224147.3165</v>
      </c>
      <c r="E266" s="21" t="n">
        <v>28.01841456</v>
      </c>
      <c r="F266" s="21" t="n">
        <v>2.801841456</v>
      </c>
    </row>
    <row r="267">
      <c r="A267" s="48" t="n">
        <v>46288</v>
      </c>
      <c r="B267" s="49" t="inlineStr">
        <is>
          <t>FIJO</t>
        </is>
      </c>
      <c r="C267" s="49" t="inlineStr">
        <is>
          <t>Meta</t>
        </is>
      </c>
      <c r="D267" s="19" t="n">
        <v>554604.5031</v>
      </c>
      <c r="E267" s="21" t="n">
        <v>58.37942138</v>
      </c>
      <c r="F267" s="21" t="n">
        <v>6.162272257</v>
      </c>
    </row>
    <row r="268">
      <c r="A268" s="48" t="n">
        <v>46288</v>
      </c>
      <c r="B268" s="49" t="inlineStr">
        <is>
          <t>FIJO</t>
        </is>
      </c>
      <c r="C268" s="49" t="inlineStr">
        <is>
          <t>Pmax</t>
        </is>
      </c>
      <c r="D268" s="19" t="n">
        <v>1280841.809</v>
      </c>
      <c r="E268" s="21" t="n">
        <v>85.38945391</v>
      </c>
      <c r="F268" s="21" t="n">
        <v>12.80841809</v>
      </c>
    </row>
    <row r="269">
      <c r="A269" s="48" t="n">
        <v>46288</v>
      </c>
      <c r="B269" s="49" t="inlineStr">
        <is>
          <t>FIJO</t>
        </is>
      </c>
      <c r="C269" s="49" t="inlineStr">
        <is>
          <t>Search</t>
        </is>
      </c>
      <c r="D269" s="19" t="n">
        <v>7685050.852</v>
      </c>
      <c r="E269" s="21" t="n">
        <v>404.4763606</v>
      </c>
      <c r="F269" s="21" t="n">
        <v>118.2315516</v>
      </c>
    </row>
    <row r="270">
      <c r="A270" s="48" t="n">
        <v>46288</v>
      </c>
      <c r="B270" s="49" t="inlineStr">
        <is>
          <t>MIXTO</t>
        </is>
      </c>
      <c r="C270" s="49" t="inlineStr">
        <is>
          <t>Bing Mixto</t>
        </is>
      </c>
      <c r="D270" s="19" t="n">
        <v>70234.28290999999</v>
      </c>
      <c r="E270" s="21" t="n">
        <v>5.852856909</v>
      </c>
      <c r="F270" s="21" t="n">
        <v>0</v>
      </c>
    </row>
    <row r="271">
      <c r="A271" s="48" t="n">
        <v>46288</v>
      </c>
      <c r="B271" s="49" t="inlineStr">
        <is>
          <t>MIXTO</t>
        </is>
      </c>
      <c r="C271" s="49" t="inlineStr">
        <is>
          <t>Pmax Mixto</t>
        </is>
      </c>
      <c r="D271" s="19" t="n">
        <v>632108.5462</v>
      </c>
      <c r="E271" s="21" t="n">
        <v>79.01356826999999</v>
      </c>
      <c r="F271" s="21" t="n">
        <v>0</v>
      </c>
    </row>
    <row r="272">
      <c r="A272" s="48" t="n">
        <v>46288</v>
      </c>
      <c r="B272" s="49" t="inlineStr">
        <is>
          <t>MIXTO</t>
        </is>
      </c>
      <c r="C272" s="49" t="inlineStr">
        <is>
          <t>Search Mixto</t>
        </is>
      </c>
      <c r="D272" s="19" t="n">
        <v>3511714.145</v>
      </c>
      <c r="E272" s="21" t="n">
        <v>675.3296433</v>
      </c>
      <c r="F272" s="21" t="n">
        <v>0</v>
      </c>
    </row>
    <row r="273">
      <c r="A273" s="48" t="n">
        <v>46288</v>
      </c>
      <c r="B273" s="49" t="inlineStr">
        <is>
          <t>MOVIL</t>
        </is>
      </c>
      <c r="C273" s="49" t="inlineStr">
        <is>
          <t>Bing</t>
        </is>
      </c>
      <c r="D273" s="19" t="n">
        <v>191066.1885</v>
      </c>
      <c r="E273" s="21" t="n">
        <v>27.29516978</v>
      </c>
      <c r="F273" s="21" t="n">
        <v>0</v>
      </c>
    </row>
    <row r="274">
      <c r="A274" s="48" t="n">
        <v>46288</v>
      </c>
      <c r="B274" s="49" t="inlineStr">
        <is>
          <t>MOVIL</t>
        </is>
      </c>
      <c r="C274" s="49" t="inlineStr">
        <is>
          <t>Display</t>
        </is>
      </c>
      <c r="D274" s="19" t="n">
        <v>191066.1885</v>
      </c>
      <c r="E274" s="21" t="n">
        <v>26.16269868</v>
      </c>
      <c r="F274" s="21" t="n">
        <v>0</v>
      </c>
    </row>
    <row r="275">
      <c r="A275" s="48" t="n">
        <v>46288</v>
      </c>
      <c r="B275" s="49" t="inlineStr">
        <is>
          <t>MOVIL</t>
        </is>
      </c>
      <c r="C275" s="49" t="inlineStr">
        <is>
          <t>Meta</t>
        </is>
      </c>
      <c r="D275" s="19" t="n">
        <v>764264.7537999999</v>
      </c>
      <c r="E275" s="21" t="n">
        <v>106.1478825</v>
      </c>
      <c r="F275" s="21" t="n">
        <v>0</v>
      </c>
    </row>
    <row r="276">
      <c r="A276" s="48" t="n">
        <v>46288</v>
      </c>
      <c r="B276" s="49" t="inlineStr">
        <is>
          <t>MOVIL</t>
        </is>
      </c>
      <c r="C276" s="49" t="inlineStr">
        <is>
          <t>Pmax</t>
        </is>
      </c>
      <c r="D276" s="19" t="n">
        <v>955330.9423</v>
      </c>
      <c r="E276" s="21" t="n">
        <v>68.23792444999999</v>
      </c>
      <c r="F276" s="21" t="n">
        <v>0</v>
      </c>
    </row>
    <row r="277">
      <c r="A277" s="48" t="n">
        <v>46288</v>
      </c>
      <c r="B277" s="49" t="inlineStr">
        <is>
          <t>MOVIL</t>
        </is>
      </c>
      <c r="C277" s="49" t="inlineStr">
        <is>
          <t>Search</t>
        </is>
      </c>
      <c r="D277" s="19" t="n">
        <v>6293784.217</v>
      </c>
      <c r="E277" s="21" t="n">
        <v>406.0505946</v>
      </c>
      <c r="F277" s="21" t="n">
        <v>0</v>
      </c>
    </row>
    <row r="278">
      <c r="A278" s="48" t="n">
        <v>46289</v>
      </c>
      <c r="B278" s="49" t="inlineStr">
        <is>
          <t>FIJO</t>
        </is>
      </c>
      <c r="C278" s="49" t="inlineStr">
        <is>
          <t>Bing</t>
        </is>
      </c>
      <c r="D278" s="19" t="n">
        <v>225994.6845</v>
      </c>
      <c r="E278" s="21" t="n">
        <v>28.24933556</v>
      </c>
      <c r="F278" s="21" t="n">
        <v>2.824933556</v>
      </c>
    </row>
    <row r="279">
      <c r="A279" s="48" t="n">
        <v>46289</v>
      </c>
      <c r="B279" s="49" t="inlineStr">
        <is>
          <t>FIJO</t>
        </is>
      </c>
      <c r="C279" s="49" t="inlineStr">
        <is>
          <t>Meta</t>
        </is>
      </c>
      <c r="D279" s="19" t="n">
        <v>559175.4194</v>
      </c>
      <c r="E279" s="21" t="n">
        <v>58.86057046</v>
      </c>
      <c r="F279" s="21" t="n">
        <v>6.213060215</v>
      </c>
    </row>
    <row r="280">
      <c r="A280" s="48" t="n">
        <v>46289</v>
      </c>
      <c r="B280" s="49" t="inlineStr">
        <is>
          <t>FIJO</t>
        </is>
      </c>
      <c r="C280" s="49" t="inlineStr">
        <is>
          <t>Pmax</t>
        </is>
      </c>
      <c r="D280" s="19" t="n">
        <v>1291398.197</v>
      </c>
      <c r="E280" s="21" t="n">
        <v>86.09321315</v>
      </c>
      <c r="F280" s="21" t="n">
        <v>12.91398197</v>
      </c>
    </row>
    <row r="281">
      <c r="A281" s="48" t="n">
        <v>46289</v>
      </c>
      <c r="B281" s="49" t="inlineStr">
        <is>
          <t>FIJO</t>
        </is>
      </c>
      <c r="C281" s="49" t="inlineStr">
        <is>
          <t>Search</t>
        </is>
      </c>
      <c r="D281" s="19" t="n">
        <v>7748389.183</v>
      </c>
      <c r="E281" s="21" t="n">
        <v>407.809957</v>
      </c>
      <c r="F281" s="21" t="n">
        <v>119.2059874</v>
      </c>
    </row>
    <row r="282">
      <c r="A282" s="48" t="n">
        <v>46289</v>
      </c>
      <c r="B282" s="49" t="inlineStr">
        <is>
          <t>MIXTO</t>
        </is>
      </c>
      <c r="C282" s="49" t="inlineStr">
        <is>
          <t>Bing Mixto</t>
        </is>
      </c>
      <c r="D282" s="19" t="n">
        <v>66976.83624999999</v>
      </c>
      <c r="E282" s="21" t="n">
        <v>5.581403021</v>
      </c>
      <c r="F282" s="21" t="n">
        <v>0</v>
      </c>
    </row>
    <row r="283">
      <c r="A283" s="48" t="n">
        <v>46289</v>
      </c>
      <c r="B283" s="49" t="inlineStr">
        <is>
          <t>MIXTO</t>
        </is>
      </c>
      <c r="C283" s="49" t="inlineStr">
        <is>
          <t>Pmax Mixto</t>
        </is>
      </c>
      <c r="D283" s="19" t="n">
        <v>602791.5262</v>
      </c>
      <c r="E283" s="21" t="n">
        <v>75.34894078000001</v>
      </c>
      <c r="F283" s="21" t="n">
        <v>0</v>
      </c>
    </row>
    <row r="284">
      <c r="A284" s="48" t="n">
        <v>46289</v>
      </c>
      <c r="B284" s="49" t="inlineStr">
        <is>
          <t>MIXTO</t>
        </is>
      </c>
      <c r="C284" s="49" t="inlineStr">
        <is>
          <t>Search Mixto</t>
        </is>
      </c>
      <c r="D284" s="19" t="n">
        <v>3348841.812</v>
      </c>
      <c r="E284" s="21" t="n">
        <v>644.0080408</v>
      </c>
      <c r="F284" s="21" t="n">
        <v>0</v>
      </c>
    </row>
    <row r="285">
      <c r="A285" s="48" t="n">
        <v>46289</v>
      </c>
      <c r="B285" s="49" t="inlineStr">
        <is>
          <t>MOVIL</t>
        </is>
      </c>
      <c r="C285" s="49" t="inlineStr">
        <is>
          <t>Bing</t>
        </is>
      </c>
      <c r="D285" s="19" t="n">
        <v>173459.4066</v>
      </c>
      <c r="E285" s="21" t="n">
        <v>24.77991523</v>
      </c>
      <c r="F285" s="21" t="n">
        <v>0</v>
      </c>
    </row>
    <row r="286">
      <c r="A286" s="48" t="n">
        <v>46289</v>
      </c>
      <c r="B286" s="49" t="inlineStr">
        <is>
          <t>MOVIL</t>
        </is>
      </c>
      <c r="C286" s="49" t="inlineStr">
        <is>
          <t>Display</t>
        </is>
      </c>
      <c r="D286" s="19" t="n">
        <v>173459.4066</v>
      </c>
      <c r="E286" s="21" t="n">
        <v>23.75180153</v>
      </c>
      <c r="F286" s="21" t="n">
        <v>0</v>
      </c>
    </row>
    <row r="287">
      <c r="A287" s="48" t="n">
        <v>46289</v>
      </c>
      <c r="B287" s="49" t="inlineStr">
        <is>
          <t>MOVIL</t>
        </is>
      </c>
      <c r="C287" s="49" t="inlineStr">
        <is>
          <t>Meta</t>
        </is>
      </c>
      <c r="D287" s="19" t="n">
        <v>693837.6263</v>
      </c>
      <c r="E287" s="21" t="n">
        <v>96.36633698999999</v>
      </c>
      <c r="F287" s="21" t="n">
        <v>0</v>
      </c>
    </row>
    <row r="288">
      <c r="A288" s="48" t="n">
        <v>46289</v>
      </c>
      <c r="B288" s="49" t="inlineStr">
        <is>
          <t>MOVIL</t>
        </is>
      </c>
      <c r="C288" s="49" t="inlineStr">
        <is>
          <t>Pmax</t>
        </is>
      </c>
      <c r="D288" s="19" t="n">
        <v>867297.0329</v>
      </c>
      <c r="E288" s="21" t="n">
        <v>61.94978807</v>
      </c>
      <c r="F288" s="21" t="n">
        <v>0</v>
      </c>
    </row>
    <row r="289">
      <c r="A289" s="48" t="n">
        <v>46289</v>
      </c>
      <c r="B289" s="49" t="inlineStr">
        <is>
          <t>MOVIL</t>
        </is>
      </c>
      <c r="C289" s="49" t="inlineStr">
        <is>
          <t>Search</t>
        </is>
      </c>
      <c r="D289" s="19" t="n">
        <v>5713810.927</v>
      </c>
      <c r="E289" s="21" t="n">
        <v>368.632963</v>
      </c>
      <c r="F289" s="21" t="n">
        <v>0</v>
      </c>
    </row>
    <row r="290">
      <c r="A290" s="48" t="n">
        <v>46290</v>
      </c>
      <c r="B290" s="49" t="inlineStr">
        <is>
          <t>FIJO</t>
        </is>
      </c>
      <c r="C290" s="49" t="inlineStr">
        <is>
          <t>Bing</t>
        </is>
      </c>
      <c r="D290" s="19" t="n">
        <v>206905.2152</v>
      </c>
      <c r="E290" s="21" t="n">
        <v>25.86315191</v>
      </c>
      <c r="F290" s="21" t="n">
        <v>2.586315191</v>
      </c>
    </row>
    <row r="291">
      <c r="A291" s="48" t="n">
        <v>46290</v>
      </c>
      <c r="B291" s="49" t="inlineStr">
        <is>
          <t>FIJO</t>
        </is>
      </c>
      <c r="C291" s="49" t="inlineStr">
        <is>
          <t>Meta</t>
        </is>
      </c>
      <c r="D291" s="19" t="n">
        <v>511942.6183</v>
      </c>
      <c r="E291" s="21" t="n">
        <v>53.88869666</v>
      </c>
      <c r="F291" s="21" t="n">
        <v>5.688251314</v>
      </c>
    </row>
    <row r="292">
      <c r="A292" s="48" t="n">
        <v>46290</v>
      </c>
      <c r="B292" s="49" t="inlineStr">
        <is>
          <t>FIJO</t>
        </is>
      </c>
      <c r="C292" s="49" t="inlineStr">
        <is>
          <t>Pmax</t>
        </is>
      </c>
      <c r="D292" s="19" t="n">
        <v>1182315.516</v>
      </c>
      <c r="E292" s="21" t="n">
        <v>78.82103438</v>
      </c>
      <c r="F292" s="21" t="n">
        <v>11.82315516</v>
      </c>
    </row>
    <row r="293">
      <c r="A293" s="48" t="n">
        <v>46290</v>
      </c>
      <c r="B293" s="49" t="inlineStr">
        <is>
          <t>FIJO</t>
        </is>
      </c>
      <c r="C293" s="49" t="inlineStr">
        <is>
          <t>Search</t>
        </is>
      </c>
      <c r="D293" s="19" t="n">
        <v>7093893.094</v>
      </c>
      <c r="E293" s="21" t="n">
        <v>373.3627944</v>
      </c>
      <c r="F293" s="21" t="n">
        <v>109.1368168</v>
      </c>
    </row>
    <row r="294">
      <c r="A294" s="48" t="n">
        <v>46290</v>
      </c>
      <c r="B294" s="49" t="inlineStr">
        <is>
          <t>MIXTO</t>
        </is>
      </c>
      <c r="C294" s="49" t="inlineStr">
        <is>
          <t>Bing Mixto</t>
        </is>
      </c>
      <c r="D294" s="19" t="n">
        <v>61869.59314</v>
      </c>
      <c r="E294" s="21" t="n">
        <v>5.155799428</v>
      </c>
      <c r="F294" s="21" t="n">
        <v>0</v>
      </c>
    </row>
    <row r="295">
      <c r="A295" s="48" t="n">
        <v>46290</v>
      </c>
      <c r="B295" s="49" t="inlineStr">
        <is>
          <t>MIXTO</t>
        </is>
      </c>
      <c r="C295" s="49" t="inlineStr">
        <is>
          <t>Pmax Mixto</t>
        </is>
      </c>
      <c r="D295" s="19" t="n">
        <v>556826.3382999999</v>
      </c>
      <c r="E295" s="21" t="n">
        <v>69.60329228000001</v>
      </c>
      <c r="F295" s="21" t="n">
        <v>0</v>
      </c>
    </row>
    <row r="296">
      <c r="A296" s="48" t="n">
        <v>46290</v>
      </c>
      <c r="B296" s="49" t="inlineStr">
        <is>
          <t>MIXTO</t>
        </is>
      </c>
      <c r="C296" s="49" t="inlineStr">
        <is>
          <t>Search Mixto</t>
        </is>
      </c>
      <c r="D296" s="19" t="n">
        <v>3093479.657</v>
      </c>
      <c r="E296" s="21" t="n">
        <v>594.8999341</v>
      </c>
      <c r="F296" s="21" t="n">
        <v>0</v>
      </c>
    </row>
    <row r="297">
      <c r="A297" s="48" t="n">
        <v>46290</v>
      </c>
      <c r="B297" s="49" t="inlineStr">
        <is>
          <t>MOVIL</t>
        </is>
      </c>
      <c r="C297" s="49" t="inlineStr">
        <is>
          <t>Bing</t>
        </is>
      </c>
      <c r="D297" s="19" t="n">
        <v>161558.5262</v>
      </c>
      <c r="E297" s="21" t="n">
        <v>23.07978946</v>
      </c>
      <c r="F297" s="21" t="n">
        <v>0</v>
      </c>
    </row>
    <row r="298">
      <c r="A298" s="48" t="n">
        <v>46290</v>
      </c>
      <c r="B298" s="49" t="inlineStr">
        <is>
          <t>MOVIL</t>
        </is>
      </c>
      <c r="C298" s="49" t="inlineStr">
        <is>
          <t>Display</t>
        </is>
      </c>
      <c r="D298" s="19" t="n">
        <v>161558.5262</v>
      </c>
      <c r="E298" s="21" t="n">
        <v>22.12221364</v>
      </c>
      <c r="F298" s="21" t="n">
        <v>0</v>
      </c>
    </row>
    <row r="299">
      <c r="A299" s="48" t="n">
        <v>46290</v>
      </c>
      <c r="B299" s="49" t="inlineStr">
        <is>
          <t>MOVIL</t>
        </is>
      </c>
      <c r="C299" s="49" t="inlineStr">
        <is>
          <t>Meta</t>
        </is>
      </c>
      <c r="D299" s="19" t="n">
        <v>646234.105</v>
      </c>
      <c r="E299" s="21" t="n">
        <v>89.7547368</v>
      </c>
      <c r="F299" s="21" t="n">
        <v>0</v>
      </c>
    </row>
    <row r="300">
      <c r="A300" s="48" t="n">
        <v>46290</v>
      </c>
      <c r="B300" s="49" t="inlineStr">
        <is>
          <t>MOVIL</t>
        </is>
      </c>
      <c r="C300" s="49" t="inlineStr">
        <is>
          <t>Pmax</t>
        </is>
      </c>
      <c r="D300" s="19" t="n">
        <v>807792.6311999999</v>
      </c>
      <c r="E300" s="21" t="n">
        <v>57.69947366</v>
      </c>
      <c r="F300" s="21" t="n">
        <v>0</v>
      </c>
    </row>
    <row r="301">
      <c r="A301" s="48" t="n">
        <v>46290</v>
      </c>
      <c r="B301" s="49" t="inlineStr">
        <is>
          <t>MOVIL</t>
        </is>
      </c>
      <c r="C301" s="49" t="inlineStr">
        <is>
          <t>Search</t>
        </is>
      </c>
      <c r="D301" s="19" t="n">
        <v>5321791.944</v>
      </c>
      <c r="E301" s="21" t="n">
        <v>343.3414158</v>
      </c>
      <c r="F301" s="21" t="n">
        <v>0</v>
      </c>
    </row>
    <row r="302">
      <c r="A302" s="48" t="n">
        <v>46291</v>
      </c>
      <c r="B302" s="49" t="inlineStr">
        <is>
          <t>FIJO</t>
        </is>
      </c>
      <c r="C302" s="49" t="inlineStr">
        <is>
          <t>Bing</t>
        </is>
      </c>
      <c r="D302" s="19" t="n">
        <v>147481.5448</v>
      </c>
      <c r="E302" s="21" t="n">
        <v>18.4351931</v>
      </c>
      <c r="F302" s="21" t="n">
        <v>1.84351931</v>
      </c>
    </row>
    <row r="303">
      <c r="A303" s="48" t="n">
        <v>46291</v>
      </c>
      <c r="B303" s="49" t="inlineStr">
        <is>
          <t>FIJO</t>
        </is>
      </c>
      <c r="C303" s="49" t="inlineStr">
        <is>
          <t>Meta</t>
        </is>
      </c>
      <c r="D303" s="19" t="n">
        <v>364911.4794</v>
      </c>
      <c r="E303" s="21" t="n">
        <v>38.41173467</v>
      </c>
      <c r="F303" s="21" t="n">
        <v>4.054571993</v>
      </c>
    </row>
    <row r="304">
      <c r="A304" s="48" t="n">
        <v>46291</v>
      </c>
      <c r="B304" s="49" t="inlineStr">
        <is>
          <t>FIJO</t>
        </is>
      </c>
      <c r="C304" s="49" t="inlineStr">
        <is>
          <t>Pmax</t>
        </is>
      </c>
      <c r="D304" s="19" t="n">
        <v>842751.6845</v>
      </c>
      <c r="E304" s="21" t="n">
        <v>56.18344564</v>
      </c>
      <c r="F304" s="21" t="n">
        <v>8.427516845</v>
      </c>
    </row>
    <row r="305">
      <c r="A305" s="48" t="n">
        <v>46291</v>
      </c>
      <c r="B305" s="49" t="inlineStr">
        <is>
          <t>FIJO</t>
        </is>
      </c>
      <c r="C305" s="49" t="inlineStr">
        <is>
          <t>Search</t>
        </is>
      </c>
      <c r="D305" s="19" t="n">
        <v>5056510.107</v>
      </c>
      <c r="E305" s="21" t="n">
        <v>266.1321109</v>
      </c>
      <c r="F305" s="21" t="n">
        <v>77.79246319000001</v>
      </c>
    </row>
    <row r="306">
      <c r="A306" s="48" t="n">
        <v>46291</v>
      </c>
      <c r="B306" s="49" t="inlineStr">
        <is>
          <t>MIXTO</t>
        </is>
      </c>
      <c r="C306" s="49" t="inlineStr">
        <is>
          <t>Bing Mixto</t>
        </is>
      </c>
      <c r="D306" s="19" t="n">
        <v>42881.63854</v>
      </c>
      <c r="E306" s="21" t="n">
        <v>3.573469879</v>
      </c>
      <c r="F306" s="21" t="n">
        <v>0</v>
      </c>
    </row>
    <row r="307">
      <c r="A307" s="48" t="n">
        <v>46291</v>
      </c>
      <c r="B307" s="49" t="inlineStr">
        <is>
          <t>MIXTO</t>
        </is>
      </c>
      <c r="C307" s="49" t="inlineStr">
        <is>
          <t>Pmax Mixto</t>
        </is>
      </c>
      <c r="D307" s="19" t="n">
        <v>385934.7469</v>
      </c>
      <c r="E307" s="21" t="n">
        <v>48.24184336</v>
      </c>
      <c r="F307" s="21" t="n">
        <v>0</v>
      </c>
    </row>
    <row r="308">
      <c r="A308" s="48" t="n">
        <v>46291</v>
      </c>
      <c r="B308" s="49" t="inlineStr">
        <is>
          <t>MIXTO</t>
        </is>
      </c>
      <c r="C308" s="49" t="inlineStr">
        <is>
          <t>Search Mixto</t>
        </is>
      </c>
      <c r="D308" s="19" t="n">
        <v>2144081.927</v>
      </c>
      <c r="E308" s="21" t="n">
        <v>412.3234475</v>
      </c>
      <c r="F308" s="21" t="n">
        <v>0</v>
      </c>
    </row>
    <row r="309">
      <c r="A309" s="48" t="n">
        <v>46291</v>
      </c>
      <c r="B309" s="49" t="inlineStr">
        <is>
          <t>MOVIL</t>
        </is>
      </c>
      <c r="C309" s="49" t="inlineStr">
        <is>
          <t>Bing</t>
        </is>
      </c>
      <c r="D309" s="19" t="n">
        <v>109064.2321</v>
      </c>
      <c r="E309" s="21" t="n">
        <v>15.58060459</v>
      </c>
      <c r="F309" s="21" t="n">
        <v>0</v>
      </c>
    </row>
    <row r="310">
      <c r="A310" s="48" t="n">
        <v>46291</v>
      </c>
      <c r="B310" s="49" t="inlineStr">
        <is>
          <t>MOVIL</t>
        </is>
      </c>
      <c r="C310" s="49" t="inlineStr">
        <is>
          <t>Display</t>
        </is>
      </c>
      <c r="D310" s="19" t="n">
        <v>109064.2321</v>
      </c>
      <c r="E310" s="21" t="n">
        <v>14.93416844</v>
      </c>
      <c r="F310" s="21" t="n">
        <v>0</v>
      </c>
    </row>
    <row r="311">
      <c r="A311" s="48" t="n">
        <v>46291</v>
      </c>
      <c r="B311" s="49" t="inlineStr">
        <is>
          <t>MOVIL</t>
        </is>
      </c>
      <c r="C311" s="49" t="inlineStr">
        <is>
          <t>Meta</t>
        </is>
      </c>
      <c r="D311" s="19" t="n">
        <v>436256.9286</v>
      </c>
      <c r="E311" s="21" t="n">
        <v>60.59124008</v>
      </c>
      <c r="F311" s="21" t="n">
        <v>0</v>
      </c>
    </row>
    <row r="312">
      <c r="A312" s="48" t="n">
        <v>46291</v>
      </c>
      <c r="B312" s="49" t="inlineStr">
        <is>
          <t>MOVIL</t>
        </is>
      </c>
      <c r="C312" s="49" t="inlineStr">
        <is>
          <t>Pmax</t>
        </is>
      </c>
      <c r="D312" s="19" t="n">
        <v>545321.1607</v>
      </c>
      <c r="E312" s="21" t="n">
        <v>38.95151148</v>
      </c>
      <c r="F312" s="21" t="n">
        <v>0</v>
      </c>
    </row>
    <row r="313">
      <c r="A313" s="48" t="n">
        <v>46291</v>
      </c>
      <c r="B313" s="49" t="inlineStr">
        <is>
          <t>MOVIL</t>
        </is>
      </c>
      <c r="C313" s="49" t="inlineStr">
        <is>
          <t>Search</t>
        </is>
      </c>
      <c r="D313" s="19" t="n">
        <v>3592612.322</v>
      </c>
      <c r="E313" s="21" t="n">
        <v>231.7814401</v>
      </c>
      <c r="F313" s="21" t="n">
        <v>0</v>
      </c>
    </row>
    <row r="314">
      <c r="A314" s="48" t="n">
        <v>46292</v>
      </c>
      <c r="B314" s="49" t="inlineStr">
        <is>
          <t>FIJO</t>
        </is>
      </c>
      <c r="C314" s="49" t="inlineStr">
        <is>
          <t>Bing</t>
        </is>
      </c>
      <c r="D314" s="19" t="n">
        <v>133318.3902</v>
      </c>
      <c r="E314" s="21" t="n">
        <v>16.66479877</v>
      </c>
      <c r="F314" s="21" t="n">
        <v>1.666479877</v>
      </c>
    </row>
    <row r="315">
      <c r="A315" s="48" t="n">
        <v>46292</v>
      </c>
      <c r="B315" s="49" t="inlineStr">
        <is>
          <t>FIJO</t>
        </is>
      </c>
      <c r="C315" s="49" t="inlineStr">
        <is>
          <t>Meta</t>
        </is>
      </c>
      <c r="D315" s="19" t="n">
        <v>329867.7883</v>
      </c>
      <c r="E315" s="21" t="n">
        <v>34.72292508</v>
      </c>
      <c r="F315" s="21" t="n">
        <v>3.665197647</v>
      </c>
    </row>
    <row r="316">
      <c r="A316" s="48" t="n">
        <v>46292</v>
      </c>
      <c r="B316" s="49" t="inlineStr">
        <is>
          <t>FIJO</t>
        </is>
      </c>
      <c r="C316" s="49" t="inlineStr">
        <is>
          <t>Pmax</t>
        </is>
      </c>
      <c r="D316" s="19" t="n">
        <v>761819.3725000001</v>
      </c>
      <c r="E316" s="21" t="n">
        <v>50.78795816</v>
      </c>
      <c r="F316" s="21" t="n">
        <v>7.618193725</v>
      </c>
    </row>
    <row r="317">
      <c r="A317" s="48" t="n">
        <v>46292</v>
      </c>
      <c r="B317" s="49" t="inlineStr">
        <is>
          <t>FIJO</t>
        </is>
      </c>
      <c r="C317" s="49" t="inlineStr">
        <is>
          <t>Search</t>
        </is>
      </c>
      <c r="D317" s="19" t="n">
        <v>4570916.235</v>
      </c>
      <c r="E317" s="21" t="n">
        <v>240.5745387</v>
      </c>
      <c r="F317" s="21" t="n">
        <v>70.32178823</v>
      </c>
    </row>
    <row r="318">
      <c r="A318" s="48" t="n">
        <v>46292</v>
      </c>
      <c r="B318" s="49" t="inlineStr">
        <is>
          <t>MIXTO</t>
        </is>
      </c>
      <c r="C318" s="49" t="inlineStr">
        <is>
          <t>Bing Mixto</t>
        </is>
      </c>
      <c r="D318" s="19" t="n">
        <v>40858.33074</v>
      </c>
      <c r="E318" s="21" t="n">
        <v>3.404860895</v>
      </c>
      <c r="F318" s="21" t="n">
        <v>0</v>
      </c>
    </row>
    <row r="319">
      <c r="A319" s="48" t="n">
        <v>46292</v>
      </c>
      <c r="B319" s="49" t="inlineStr">
        <is>
          <t>MIXTO</t>
        </is>
      </c>
      <c r="C319" s="49" t="inlineStr">
        <is>
          <t>Pmax Mixto</t>
        </is>
      </c>
      <c r="D319" s="19" t="n">
        <v>367724.9767</v>
      </c>
      <c r="E319" s="21" t="n">
        <v>45.96562208</v>
      </c>
      <c r="F319" s="21" t="n">
        <v>0</v>
      </c>
    </row>
    <row r="320">
      <c r="A320" s="48" t="n">
        <v>46292</v>
      </c>
      <c r="B320" s="49" t="inlineStr">
        <is>
          <t>MIXTO</t>
        </is>
      </c>
      <c r="C320" s="49" t="inlineStr">
        <is>
          <t>Search Mixto</t>
        </is>
      </c>
      <c r="D320" s="19" t="n">
        <v>2042916.537</v>
      </c>
      <c r="E320" s="21" t="n">
        <v>392.8685648</v>
      </c>
      <c r="F320" s="21" t="n">
        <v>0</v>
      </c>
    </row>
    <row r="321">
      <c r="A321" s="48" t="n">
        <v>46292</v>
      </c>
      <c r="B321" s="49" t="inlineStr">
        <is>
          <t>MOVIL</t>
        </is>
      </c>
      <c r="C321" s="49" t="inlineStr">
        <is>
          <t>Bing</t>
        </is>
      </c>
      <c r="D321" s="19" t="n">
        <v>109064.2321</v>
      </c>
      <c r="E321" s="21" t="n">
        <v>15.58060459</v>
      </c>
      <c r="F321" s="21" t="n">
        <v>0</v>
      </c>
    </row>
    <row r="322">
      <c r="A322" s="48" t="n">
        <v>46292</v>
      </c>
      <c r="B322" s="49" t="inlineStr">
        <is>
          <t>MOVIL</t>
        </is>
      </c>
      <c r="C322" s="49" t="inlineStr">
        <is>
          <t>Display</t>
        </is>
      </c>
      <c r="D322" s="19" t="n">
        <v>109064.2321</v>
      </c>
      <c r="E322" s="21" t="n">
        <v>14.93416844</v>
      </c>
      <c r="F322" s="21" t="n">
        <v>0</v>
      </c>
    </row>
    <row r="323">
      <c r="A323" s="48" t="n">
        <v>46292</v>
      </c>
      <c r="B323" s="49" t="inlineStr">
        <is>
          <t>MOVIL</t>
        </is>
      </c>
      <c r="C323" s="49" t="inlineStr">
        <is>
          <t>Meta</t>
        </is>
      </c>
      <c r="D323" s="19" t="n">
        <v>436256.9286</v>
      </c>
      <c r="E323" s="21" t="n">
        <v>60.59124008</v>
      </c>
      <c r="F323" s="21" t="n">
        <v>0</v>
      </c>
    </row>
    <row r="324">
      <c r="A324" s="48" t="n">
        <v>46292</v>
      </c>
      <c r="B324" s="49" t="inlineStr">
        <is>
          <t>MOVIL</t>
        </is>
      </c>
      <c r="C324" s="49" t="inlineStr">
        <is>
          <t>Pmax</t>
        </is>
      </c>
      <c r="D324" s="19" t="n">
        <v>545321.1607</v>
      </c>
      <c r="E324" s="21" t="n">
        <v>38.95151148</v>
      </c>
      <c r="F324" s="21" t="n">
        <v>0</v>
      </c>
    </row>
    <row r="325">
      <c r="A325" s="48" t="n">
        <v>46292</v>
      </c>
      <c r="B325" s="49" t="inlineStr">
        <is>
          <t>MOVIL</t>
        </is>
      </c>
      <c r="C325" s="49" t="inlineStr">
        <is>
          <t>Search</t>
        </is>
      </c>
      <c r="D325" s="19" t="n">
        <v>3592612.322</v>
      </c>
      <c r="E325" s="21" t="n">
        <v>231.7814401</v>
      </c>
      <c r="F325" s="21" t="n">
        <v>0</v>
      </c>
    </row>
    <row r="326">
      <c r="A326" s="48" t="n">
        <v>46293</v>
      </c>
      <c r="B326" s="49" t="inlineStr">
        <is>
          <t>FIJO</t>
        </is>
      </c>
      <c r="C326" s="49" t="inlineStr">
        <is>
          <t>Bing</t>
        </is>
      </c>
      <c r="D326" s="19" t="n">
        <v>319902.5575</v>
      </c>
      <c r="E326" s="21" t="n">
        <v>39.98781969</v>
      </c>
      <c r="F326" s="21" t="n">
        <v>3.998781969</v>
      </c>
    </row>
    <row r="327">
      <c r="A327" s="48" t="n">
        <v>46293</v>
      </c>
      <c r="B327" s="49" t="inlineStr">
        <is>
          <t>FIJO</t>
        </is>
      </c>
      <c r="C327" s="49" t="inlineStr">
        <is>
          <t>Meta</t>
        </is>
      </c>
      <c r="D327" s="19" t="n">
        <v>791530.328</v>
      </c>
      <c r="E327" s="21" t="n">
        <v>83.31898189</v>
      </c>
      <c r="F327" s="21" t="n">
        <v>8.794781422</v>
      </c>
    </row>
    <row r="328">
      <c r="A328" s="48" t="n">
        <v>46293</v>
      </c>
      <c r="B328" s="49" t="inlineStr">
        <is>
          <t>FIJO</t>
        </is>
      </c>
      <c r="C328" s="49" t="inlineStr">
        <is>
          <t>Pmax</t>
        </is>
      </c>
      <c r="D328" s="19" t="n">
        <v>1828014.614</v>
      </c>
      <c r="E328" s="21" t="n">
        <v>121.867641</v>
      </c>
      <c r="F328" s="21" t="n">
        <v>18.28014614</v>
      </c>
    </row>
    <row r="329">
      <c r="A329" s="48" t="n">
        <v>46293</v>
      </c>
      <c r="B329" s="49" t="inlineStr">
        <is>
          <t>FIJO</t>
        </is>
      </c>
      <c r="C329" s="49" t="inlineStr">
        <is>
          <t>Search</t>
        </is>
      </c>
      <c r="D329" s="19" t="n">
        <v>10968087.69</v>
      </c>
      <c r="E329" s="21" t="n">
        <v>577.2677729</v>
      </c>
      <c r="F329" s="21" t="n">
        <v>168.7398105</v>
      </c>
    </row>
    <row r="330">
      <c r="A330" s="48" t="n">
        <v>46293</v>
      </c>
      <c r="B330" s="49" t="inlineStr">
        <is>
          <t>MIXTO</t>
        </is>
      </c>
      <c r="C330" s="49" t="inlineStr">
        <is>
          <t>Bing Mixto</t>
        </is>
      </c>
      <c r="D330" s="19" t="n">
        <v>93140.86095</v>
      </c>
      <c r="E330" s="21" t="n">
        <v>7.761738413</v>
      </c>
      <c r="F330" s="21" t="n">
        <v>0</v>
      </c>
    </row>
    <row r="331">
      <c r="A331" s="48" t="n">
        <v>46293</v>
      </c>
      <c r="B331" s="49" t="inlineStr">
        <is>
          <t>MIXTO</t>
        </is>
      </c>
      <c r="C331" s="49" t="inlineStr">
        <is>
          <t>Pmax Mixto</t>
        </is>
      </c>
      <c r="D331" s="19" t="n">
        <v>838267.7486</v>
      </c>
      <c r="E331" s="21" t="n">
        <v>104.7834686</v>
      </c>
      <c r="F331" s="21" t="n">
        <v>0</v>
      </c>
    </row>
    <row r="332">
      <c r="A332" s="48" t="n">
        <v>46293</v>
      </c>
      <c r="B332" s="49" t="inlineStr">
        <is>
          <t>MIXTO</t>
        </is>
      </c>
      <c r="C332" s="49" t="inlineStr">
        <is>
          <t>Search Mixto</t>
        </is>
      </c>
      <c r="D332" s="19" t="n">
        <v>4657043.048</v>
      </c>
      <c r="E332" s="21" t="n">
        <v>895.5852015</v>
      </c>
      <c r="F332" s="21" t="n">
        <v>0</v>
      </c>
    </row>
    <row r="333">
      <c r="A333" s="48" t="n">
        <v>46293</v>
      </c>
      <c r="B333" s="49" t="inlineStr">
        <is>
          <t>MOVIL</t>
        </is>
      </c>
      <c r="C333" s="49" t="inlineStr">
        <is>
          <t>Bing</t>
        </is>
      </c>
      <c r="D333" s="19" t="n">
        <v>237202.478</v>
      </c>
      <c r="E333" s="21" t="n">
        <v>33.88606828</v>
      </c>
      <c r="F333" s="21" t="n">
        <v>0</v>
      </c>
    </row>
    <row r="334">
      <c r="A334" s="48" t="n">
        <v>46293</v>
      </c>
      <c r="B334" s="49" t="inlineStr">
        <is>
          <t>MOVIL</t>
        </is>
      </c>
      <c r="C334" s="49" t="inlineStr">
        <is>
          <t>Display</t>
        </is>
      </c>
      <c r="D334" s="19" t="n">
        <v>237202.478</v>
      </c>
      <c r="E334" s="21" t="n">
        <v>32.48014213</v>
      </c>
      <c r="F334" s="21" t="n">
        <v>0</v>
      </c>
    </row>
    <row r="335">
      <c r="A335" s="48" t="n">
        <v>46293</v>
      </c>
      <c r="B335" s="49" t="inlineStr">
        <is>
          <t>MOVIL</t>
        </is>
      </c>
      <c r="C335" s="49" t="inlineStr">
        <is>
          <t>Meta</t>
        </is>
      </c>
      <c r="D335" s="19" t="n">
        <v>948809.912</v>
      </c>
      <c r="E335" s="21" t="n">
        <v>131.7791544</v>
      </c>
      <c r="F335" s="21" t="n">
        <v>0</v>
      </c>
    </row>
    <row r="336">
      <c r="A336" s="48" t="n">
        <v>46293</v>
      </c>
      <c r="B336" s="49" t="inlineStr">
        <is>
          <t>MOVIL</t>
        </is>
      </c>
      <c r="C336" s="49" t="inlineStr">
        <is>
          <t>Pmax</t>
        </is>
      </c>
      <c r="D336" s="19" t="n">
        <v>1186012.39</v>
      </c>
      <c r="E336" s="21" t="n">
        <v>84.71517071</v>
      </c>
      <c r="F336" s="21" t="n">
        <v>0</v>
      </c>
    </row>
    <row r="337">
      <c r="A337" s="48" t="n">
        <v>46293</v>
      </c>
      <c r="B337" s="49" t="inlineStr">
        <is>
          <t>MOVIL</t>
        </is>
      </c>
      <c r="C337" s="49" t="inlineStr">
        <is>
          <t>Search</t>
        </is>
      </c>
      <c r="D337" s="19" t="n">
        <v>7813529.04</v>
      </c>
      <c r="E337" s="21" t="n">
        <v>504.0986478</v>
      </c>
      <c r="F337" s="21" t="n">
        <v>0</v>
      </c>
    </row>
    <row r="338">
      <c r="A338" s="48" t="n">
        <v>46294</v>
      </c>
      <c r="B338" s="49" t="inlineStr">
        <is>
          <t>FIJO</t>
        </is>
      </c>
      <c r="C338" s="49" t="inlineStr">
        <is>
          <t>Bing</t>
        </is>
      </c>
      <c r="D338" s="19" t="n">
        <v>318978.8735</v>
      </c>
      <c r="E338" s="21" t="n">
        <v>39.87235919</v>
      </c>
      <c r="F338" s="21" t="n">
        <v>3.987235919</v>
      </c>
    </row>
    <row r="339">
      <c r="A339" s="48" t="n">
        <v>46294</v>
      </c>
      <c r="B339" s="49" t="inlineStr">
        <is>
          <t>FIJO</t>
        </is>
      </c>
      <c r="C339" s="49" t="inlineStr">
        <is>
          <t>Meta</t>
        </is>
      </c>
      <c r="D339" s="19" t="n">
        <v>789244.8699</v>
      </c>
      <c r="E339" s="21" t="n">
        <v>83.07840735000001</v>
      </c>
      <c r="F339" s="21" t="n">
        <v>8.769387442999999</v>
      </c>
    </row>
    <row r="340">
      <c r="A340" s="48" t="n">
        <v>46294</v>
      </c>
      <c r="B340" s="49" t="inlineStr">
        <is>
          <t>FIJO</t>
        </is>
      </c>
      <c r="C340" s="49" t="inlineStr">
        <is>
          <t>Pmax</t>
        </is>
      </c>
      <c r="D340" s="19" t="n">
        <v>1822736.42</v>
      </c>
      <c r="E340" s="21" t="n">
        <v>121.5157613</v>
      </c>
      <c r="F340" s="21" t="n">
        <v>18.2273642</v>
      </c>
    </row>
    <row r="341">
      <c r="A341" s="48" t="n">
        <v>46294</v>
      </c>
      <c r="B341" s="49" t="inlineStr">
        <is>
          <t>FIJO</t>
        </is>
      </c>
      <c r="C341" s="49" t="inlineStr">
        <is>
          <t>Search</t>
        </is>
      </c>
      <c r="D341" s="19" t="n">
        <v>10936418.52</v>
      </c>
      <c r="E341" s="21" t="n">
        <v>575.6009747000001</v>
      </c>
      <c r="F341" s="21" t="n">
        <v>168.2525926</v>
      </c>
    </row>
    <row r="342">
      <c r="A342" s="48" t="n">
        <v>46294</v>
      </c>
      <c r="B342" s="49" t="inlineStr">
        <is>
          <t>MIXTO</t>
        </is>
      </c>
      <c r="C342" s="49" t="inlineStr">
        <is>
          <t>Bing Mixto</t>
        </is>
      </c>
      <c r="D342" s="19" t="n">
        <v>85737.95729000001</v>
      </c>
      <c r="E342" s="21" t="n">
        <v>7.144829774</v>
      </c>
      <c r="F342" s="21" t="n">
        <v>0</v>
      </c>
    </row>
    <row r="343">
      <c r="A343" s="48" t="n">
        <v>46294</v>
      </c>
      <c r="B343" s="49" t="inlineStr">
        <is>
          <t>MIXTO</t>
        </is>
      </c>
      <c r="C343" s="49" t="inlineStr">
        <is>
          <t>Pmax Mixto</t>
        </is>
      </c>
      <c r="D343" s="19" t="n">
        <v>771641.6156</v>
      </c>
      <c r="E343" s="21" t="n">
        <v>96.45520195</v>
      </c>
      <c r="F343" s="21" t="n">
        <v>0</v>
      </c>
    </row>
    <row r="344">
      <c r="A344" s="48" t="n">
        <v>46294</v>
      </c>
      <c r="B344" s="49" t="inlineStr">
        <is>
          <t>MIXTO</t>
        </is>
      </c>
      <c r="C344" s="49" t="inlineStr">
        <is>
          <t>Search Mixto</t>
        </is>
      </c>
      <c r="D344" s="19" t="n">
        <v>4286897.864</v>
      </c>
      <c r="E344" s="21" t="n">
        <v>824.4034355</v>
      </c>
      <c r="F344" s="21" t="n">
        <v>0</v>
      </c>
    </row>
    <row r="345">
      <c r="A345" s="48" t="n">
        <v>46294</v>
      </c>
      <c r="B345" s="49" t="inlineStr">
        <is>
          <t>MOVIL</t>
        </is>
      </c>
      <c r="C345" s="49" t="inlineStr">
        <is>
          <t>Bing</t>
        </is>
      </c>
      <c r="D345" s="19" t="n">
        <v>200847.7339</v>
      </c>
      <c r="E345" s="21" t="n">
        <v>28.69253342</v>
      </c>
      <c r="F345" s="21" t="n">
        <v>0</v>
      </c>
    </row>
    <row r="346">
      <c r="A346" s="48" t="n">
        <v>46294</v>
      </c>
      <c r="B346" s="49" t="inlineStr">
        <is>
          <t>MOVIL</t>
        </is>
      </c>
      <c r="C346" s="49" t="inlineStr">
        <is>
          <t>Display</t>
        </is>
      </c>
      <c r="D346" s="19" t="n">
        <v>200847.7339</v>
      </c>
      <c r="E346" s="21" t="n">
        <v>27.50208598</v>
      </c>
      <c r="F346" s="21" t="n">
        <v>0</v>
      </c>
    </row>
    <row r="347">
      <c r="A347" s="48" t="n">
        <v>46294</v>
      </c>
      <c r="B347" s="49" t="inlineStr">
        <is>
          <t>MOVIL</t>
        </is>
      </c>
      <c r="C347" s="49" t="inlineStr">
        <is>
          <t>Meta</t>
        </is>
      </c>
      <c r="D347" s="19" t="n">
        <v>803390.9358</v>
      </c>
      <c r="E347" s="21" t="n">
        <v>111.5820744</v>
      </c>
      <c r="F347" s="21" t="n">
        <v>0</v>
      </c>
    </row>
    <row r="348">
      <c r="A348" s="48" t="n">
        <v>46294</v>
      </c>
      <c r="B348" s="49" t="inlineStr">
        <is>
          <t>MOVIL</t>
        </is>
      </c>
      <c r="C348" s="49" t="inlineStr">
        <is>
          <t>Pmax</t>
        </is>
      </c>
      <c r="D348" s="19" t="n">
        <v>1004238.67</v>
      </c>
      <c r="E348" s="21" t="n">
        <v>71.73133355</v>
      </c>
      <c r="F348" s="21" t="n">
        <v>0</v>
      </c>
    </row>
    <row r="349">
      <c r="A349" s="48" t="n">
        <v>46294</v>
      </c>
      <c r="B349" s="49" t="inlineStr">
        <is>
          <t>MOVIL</t>
        </is>
      </c>
      <c r="C349" s="49" t="inlineStr">
        <is>
          <t>Search</t>
        </is>
      </c>
      <c r="D349" s="19" t="n">
        <v>6615991.6</v>
      </c>
      <c r="E349" s="21" t="n">
        <v>426.8381677</v>
      </c>
      <c r="F349" s="21" t="n">
        <v>0</v>
      </c>
    </row>
    <row r="350">
      <c r="A350" s="48" t="n">
        <v>46295</v>
      </c>
      <c r="B350" s="49" t="inlineStr">
        <is>
          <t>FIJO</t>
        </is>
      </c>
      <c r="C350" s="49" t="inlineStr">
        <is>
          <t>Bing</t>
        </is>
      </c>
      <c r="D350" s="19" t="n">
        <v>275873.6203</v>
      </c>
      <c r="E350" s="21" t="n">
        <v>34.48420254</v>
      </c>
      <c r="F350" s="21" t="n">
        <v>3.448420254</v>
      </c>
    </row>
    <row r="351">
      <c r="A351" s="48" t="n">
        <v>46295</v>
      </c>
      <c r="B351" s="49" t="inlineStr">
        <is>
          <t>FIJO</t>
        </is>
      </c>
      <c r="C351" s="49" t="inlineStr">
        <is>
          <t>Meta</t>
        </is>
      </c>
      <c r="D351" s="19" t="n">
        <v>682590.1577</v>
      </c>
      <c r="E351" s="21" t="n">
        <v>71.85159555</v>
      </c>
      <c r="F351" s="21" t="n">
        <v>7.584335086</v>
      </c>
    </row>
    <row r="352">
      <c r="A352" s="48" t="n">
        <v>46295</v>
      </c>
      <c r="B352" s="49" t="inlineStr">
        <is>
          <t>FIJO</t>
        </is>
      </c>
      <c r="C352" s="49" t="inlineStr">
        <is>
          <t>Pmax</t>
        </is>
      </c>
      <c r="D352" s="19" t="n">
        <v>1576420.688</v>
      </c>
      <c r="E352" s="21" t="n">
        <v>105.0947125</v>
      </c>
      <c r="F352" s="21" t="n">
        <v>15.76420688</v>
      </c>
    </row>
    <row r="353">
      <c r="A353" s="48" t="n">
        <v>46295</v>
      </c>
      <c r="B353" s="49" t="inlineStr">
        <is>
          <t>FIJO</t>
        </is>
      </c>
      <c r="C353" s="49" t="inlineStr">
        <is>
          <t>Search</t>
        </is>
      </c>
      <c r="D353" s="19" t="n">
        <v>9458524.125</v>
      </c>
      <c r="E353" s="21" t="n">
        <v>497.8170592</v>
      </c>
      <c r="F353" s="21" t="n">
        <v>145.5157558</v>
      </c>
    </row>
    <row r="354">
      <c r="A354" s="48" t="n">
        <v>46295</v>
      </c>
      <c r="B354" s="49" t="inlineStr">
        <is>
          <t>MIXTO</t>
        </is>
      </c>
      <c r="C354" s="49" t="inlineStr">
        <is>
          <t>Bing Mixto</t>
        </is>
      </c>
      <c r="D354" s="19" t="n">
        <v>77623.75487999999</v>
      </c>
      <c r="E354" s="21" t="n">
        <v>6.46864624</v>
      </c>
      <c r="F354" s="21" t="n">
        <v>0</v>
      </c>
    </row>
    <row r="355">
      <c r="A355" s="48" t="n">
        <v>46295</v>
      </c>
      <c r="B355" s="49" t="inlineStr">
        <is>
          <t>MIXTO</t>
        </is>
      </c>
      <c r="C355" s="49" t="inlineStr">
        <is>
          <t>Pmax Mixto</t>
        </is>
      </c>
      <c r="D355" s="19" t="n">
        <v>698613.7939</v>
      </c>
      <c r="E355" s="21" t="n">
        <v>87.32672424</v>
      </c>
      <c r="F355" s="21" t="n">
        <v>0</v>
      </c>
    </row>
    <row r="356">
      <c r="A356" s="48" t="n">
        <v>46295</v>
      </c>
      <c r="B356" s="49" t="inlineStr">
        <is>
          <t>MIXTO</t>
        </is>
      </c>
      <c r="C356" s="49" t="inlineStr">
        <is>
          <t>Search Mixto</t>
        </is>
      </c>
      <c r="D356" s="19" t="n">
        <v>3881187.744</v>
      </c>
      <c r="E356" s="21" t="n">
        <v>746.3822585</v>
      </c>
      <c r="F356" s="21" t="n">
        <v>0</v>
      </c>
    </row>
    <row r="357">
      <c r="A357" s="48" t="n">
        <v>46295</v>
      </c>
      <c r="B357" s="49" t="inlineStr">
        <is>
          <t>MOVIL</t>
        </is>
      </c>
      <c r="C357" s="49" t="inlineStr">
        <is>
          <t>Bing</t>
        </is>
      </c>
      <c r="D357" s="19" t="n">
        <v>191066.1885</v>
      </c>
      <c r="E357" s="21" t="n">
        <v>27.29516978</v>
      </c>
      <c r="F357" s="21" t="n">
        <v>0</v>
      </c>
    </row>
    <row r="358">
      <c r="A358" s="48" t="n">
        <v>46295</v>
      </c>
      <c r="B358" s="49" t="inlineStr">
        <is>
          <t>MOVIL</t>
        </is>
      </c>
      <c r="C358" s="49" t="inlineStr">
        <is>
          <t>Display</t>
        </is>
      </c>
      <c r="D358" s="19" t="n">
        <v>191066.1885</v>
      </c>
      <c r="E358" s="21" t="n">
        <v>26.16269868</v>
      </c>
      <c r="F358" s="21" t="n">
        <v>0</v>
      </c>
    </row>
    <row r="359">
      <c r="A359" s="48" t="n">
        <v>46295</v>
      </c>
      <c r="B359" s="49" t="inlineStr">
        <is>
          <t>MOVIL</t>
        </is>
      </c>
      <c r="C359" s="49" t="inlineStr">
        <is>
          <t>Meta</t>
        </is>
      </c>
      <c r="D359" s="19" t="n">
        <v>764264.7537999999</v>
      </c>
      <c r="E359" s="21" t="n">
        <v>106.1478825</v>
      </c>
      <c r="F359" s="21" t="n">
        <v>0</v>
      </c>
    </row>
    <row r="360">
      <c r="A360" s="48" t="n">
        <v>46295</v>
      </c>
      <c r="B360" s="49" t="inlineStr">
        <is>
          <t>MOVIL</t>
        </is>
      </c>
      <c r="C360" s="49" t="inlineStr">
        <is>
          <t>Pmax</t>
        </is>
      </c>
      <c r="D360" s="19" t="n">
        <v>955330.9423</v>
      </c>
      <c r="E360" s="21" t="n">
        <v>68.23792444999999</v>
      </c>
      <c r="F360" s="21" t="n">
        <v>0</v>
      </c>
    </row>
    <row r="361">
      <c r="A361" s="48" t="n">
        <v>46295</v>
      </c>
      <c r="B361" s="49" t="inlineStr">
        <is>
          <t>MOVIL</t>
        </is>
      </c>
      <c r="C361" s="49" t="inlineStr">
        <is>
          <t>Search</t>
        </is>
      </c>
      <c r="D361" s="19" t="n">
        <v>6293784.217</v>
      </c>
      <c r="E361" s="21" t="n">
        <v>406.0505946</v>
      </c>
      <c r="F361" s="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2026-09-15T20:35:30Z</dcterms:created>
  <dcterms:modified xmlns:dcterms="http://purl.org/dc/terms/" xmlns:xsi="http://www.w3.org/2001/XMLSchema-instance" xsi:type="dcterms:W3CDTF">2026-09-15T20:35:30Z</dcterms:modified>
</cp:coreProperties>
</file>